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ec7ee9b19043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umptions" sheetId="1" r:id="R7030a688f7724643"/>
    <x:sheet xmlns:r="http://schemas.openxmlformats.org/officeDocument/2006/relationships" name="Live Metrics" sheetId="2" r:id="Rc9aa2c1d48294630"/>
    <x:sheet xmlns:r="http://schemas.openxmlformats.org/officeDocument/2006/relationships" name="Cost Baseline" sheetId="3" r:id="Rc77ee5bac2424e92"/>
    <x:sheet xmlns:r="http://schemas.openxmlformats.org/officeDocument/2006/relationships" name="Sensitivity" sheetId="4" r:id="Rb105641d60184271"/>
    <x:sheet xmlns:r="http://schemas.openxmlformats.org/officeDocument/2006/relationships" name="Break-even" sheetId="5" r:id="R3b0c7e4fa9ed4341"/>
    <x:sheet xmlns:r="http://schemas.openxmlformats.org/officeDocument/2006/relationships" name="Summary" sheetId="6" r:id="R9ba230d82c024b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$#,##0.00;[Red]($#,##0.00);-"/>
    <x:numFmt numFmtId="202" formatCode="0.0"/>
    <x:numFmt numFmtId="203" formatCode="0.0%"/>
    <x:numFmt numFmtId="204" formatCode="$#,##0.0000;[Red]($#,##0.0000);-"/>
  </x:numFmts>
  <x:fonts count="6">
    <x:font>
      <x:sz val="11"/>
      <x:name val="Carlito"/>
    </x:font>
    <x:font>
      <x:b/>
      <x:sz val="14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00"/>
      </x:patternFill>
    </x:fill>
  </x:fills>
  <x:borders count="2">
    <x:border/>
    <x:border/>
  </x:borders>
  <x:cellStyleXfs count="1">
    <x:xf numFmtId="0" fontId="0" fillId="0" borderId="0"/>
  </x:cellStyleXfs>
  <x:cellXfs count="9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200" fontId="3" fillId="4" borderId="0" xfId="0" applyNumberFormat="1" applyFont="1" applyFill="1" applyBorder="1"/>
    <x:xf numFmtId="200" fontId="3" fillId="4" borderId="1" xfId="0" applyNumberFormat="1" applyFont="1" applyFill="1" applyBorder="1"/>
    <x:xf numFmtId="201" fontId="3" fillId="4" borderId="0" xfId="0" applyNumberFormat="1" applyFont="1" applyFill="1" applyBorder="1"/>
    <x:xf numFmtId="201" fontId="3" fillId="4" borderId="1" xfId="0" applyNumberFormat="1" applyFont="1" applyFill="1" applyBorder="1"/>
    <x:xf numFmtId="202" fontId="3" fillId="4" borderId="0" xfId="0" applyNumberFormat="1" applyFont="1" applyFill="1" applyBorder="1"/>
    <x:xf numFmtId="202" fontId="3" fillId="4" borderId="1" xfId="0" applyNumberFormat="1" applyFont="1" applyFill="1" applyBorder="1"/>
    <x:xf numFmtId="201" fontId="4" fillId="0" borderId="0" xfId="0" applyNumberFormat="1" applyFont="1" applyFill="1" applyBorder="1"/>
    <x:xf numFmtId="201" fontId="4" fillId="0" borderId="1" xfId="0" applyNumberFormat="1" applyFont="1" applyFill="1" applyBorder="1"/>
    <x:xf numFmtId="203" fontId="3" fillId="4" borderId="0" xfId="0" applyNumberFormat="1" applyFont="1" applyFill="1" applyBorder="1"/>
    <x:xf numFmtId="203" fontId="3" fillId="4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200" fontId="3" fillId="4" borderId="0" xfId="0" applyNumberFormat="1" applyFont="1" applyFill="1" applyBorder="1" applyAlignment="1">
      <x:alignment wrapText="1"/>
    </x:xf>
    <x:xf numFmtId="201" fontId="3" fillId="4" borderId="0" xfId="0" applyNumberFormat="1" applyFont="1" applyFill="1" applyBorder="1" applyAlignment="1">
      <x:alignment wrapText="1"/>
    </x:xf>
    <x:xf numFmtId="202" fontId="3" fillId="4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203" fontId="3" fillId="4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3" fillId="4" borderId="1" xfId="0" applyNumberFormat="1" applyFont="1" applyFill="1" applyBorder="1" applyAlignment="1">
      <x:alignment wrapText="1"/>
    </x:xf>
    <x:xf numFmtId="201" fontId="3" fillId="4" borderId="1" xfId="0" applyNumberFormat="1" applyFont="1" applyFill="1" applyBorder="1" applyAlignment="1">
      <x:alignment wrapText="1"/>
    </x:xf>
    <x:xf numFmtId="202" fontId="3" fillId="4" borderId="1" xfId="0" applyNumberFormat="1" applyFont="1" applyFill="1" applyBorder="1" applyAlignment="1">
      <x:alignment wrapText="1"/>
    </x:xf>
    <x:xf numFmtId="201" fontId="4" fillId="0" borderId="1" xfId="0" applyNumberFormat="1" applyFont="1" applyFill="1" applyBorder="1" applyAlignment="1">
      <x:alignment wrapText="1"/>
    </x:xf>
    <x:xf numFmtId="203" fontId="3" fillId="4" borderId="1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3" fontId="3" fillId="0" borderId="0" xfId="0" applyNumberFormat="1" applyFont="1" applyFill="1" applyBorder="1"/>
    <x:xf numFmtId="203" fontId="3" fillId="0" borderId="1" xfId="0" applyNumberFormat="1" applyFont="1" applyFill="1" applyBorder="1"/>
    <x:xf numFmtId="204" fontId="3" fillId="0" borderId="0" xfId="0" applyNumberFormat="1" applyFont="1" applyFill="1" applyBorder="1"/>
    <x:xf numFmtId="204" fontId="3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203" fontId="3" fillId="0" borderId="0" xfId="0" applyNumberFormat="1" applyFont="1" applyFill="1" applyBorder="1" applyAlignment="1">
      <x:alignment wrapText="1"/>
    </x:xf>
    <x:xf numFmtId="200" fontId="3" fillId="0" borderId="0" xfId="0" applyNumberFormat="1" applyFont="1" applyFill="1" applyBorder="1" applyAlignment="1">
      <x:alignment wrapText="1"/>
    </x:xf>
    <x:xf numFmtId="204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203" fontId="3" fillId="0" borderId="1" xfId="0" applyNumberFormat="1" applyFont="1" applyFill="1" applyBorder="1" applyAlignment="1">
      <x:alignment wrapText="1"/>
    </x:xf>
    <x:xf numFmtId="200" fontId="3" fillId="0" borderId="1" xfId="0" applyNumberFormat="1" applyFont="1" applyFill="1" applyBorder="1" applyAlignment="1">
      <x:alignment wrapText="1"/>
    </x:xf>
    <x:xf numFmtId="204" fontId="3" fillId="0" borderId="1" xfId="0" applyNumberFormat="1" applyFont="1" applyFill="1" applyBorder="1" applyAlignment="1">
      <x:alignment wrapText="1"/>
    </x:xf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201" fontId="3" fillId="0" borderId="0" xfId="0" applyNumberFormat="1" applyFont="1" applyFill="1" applyBorder="1" applyAlignment="1">
      <x:alignment wrapText="1"/>
    </x:xf>
    <x:xf numFmtId="201" fontId="3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4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07b40bcd384045" /><Relationship Type="http://schemas.openxmlformats.org/officeDocument/2006/relationships/theme" Target="/xl/theme/theme1.xml" Id="R38042121374346a4" /><Relationship Type="http://schemas.microsoft.com/office/2022/11/relationships/FeaturePropertyBag" Target="/xl/featurePropertyBag/featurePropertyBag.xml" Id="Rd12454260dd74637" /><Relationship Type="http://schemas.openxmlformats.org/officeDocument/2006/relationships/sharedStrings" Target="/xl/sharedStrings.xml" Id="R6d1a8a4e5312407c" /><Relationship Type="http://schemas.openxmlformats.org/officeDocument/2006/relationships/worksheet" Target="/xl/worksheets/sheet1.xml" Id="R7030a688f7724643" /><Relationship Type="http://schemas.openxmlformats.org/officeDocument/2006/relationships/worksheet" Target="/xl/worksheets/sheet2.xml" Id="Rc9aa2c1d48294630" /><Relationship Type="http://schemas.openxmlformats.org/officeDocument/2006/relationships/worksheet" Target="/xl/worksheets/sheet3.xml" Id="Rc77ee5bac2424e92" /><Relationship Type="http://schemas.openxmlformats.org/officeDocument/2006/relationships/worksheet" Target="/xl/worksheets/sheet4.xml" Id="Rb105641d60184271" /><Relationship Type="http://schemas.openxmlformats.org/officeDocument/2006/relationships/worksheet" Target="/xl/worksheets/sheet5.xml" Id="R3b0c7e4fa9ed4341" /><Relationship Type="http://schemas.openxmlformats.org/officeDocument/2006/relationships/worksheet" Target="/xl/worksheets/sheet6.xml" Id="R9ba230d82c024b9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5276ef64f644f4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Cost-to-Serve by Model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Monthly total</c:v>
          </c:tx>
          <c:cat>
            <c:strRef>
              <c:f>'Summary'!$J$4:$J$8</c:f>
              <c:strCache>
                <c:ptCount val="0"/>
              </c:strCache>
            </c:strRef>
          </c:cat>
          <c:val>
            <c:numRef>
              <c:f>'Summary'!$K$4:$K$8</c:f>
              <c:numCache>
                <c:formatCode>$#,##0.00;[Red]($#,##0.00);-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9</xdr:row>
      <xdr:rowOff>0</xdr:rowOff>
    </xdr:from>
    <xdr:to>
      <xdr:col>17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276ef64f644f45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3f3ac4fff56f449b" /></Relationships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1.630000114440918" hidden="0" customWidth="1"/>
    <x:col min="3" max="3" width="14" hidden="0" customWidth="1"/>
    <x:col min="4" max="4" width="44" hidden="0" customWidth="1"/>
  </x:cols>
  <x:sheetData>
    <x:row r="1">
      <x:c r="A1" s="30" t="str">
        <x:v>PE6201 A2 — D6 Official Problem B Inputs</x:v>
      </x:c>
      <x:c r="B1" s="30"/>
      <x:c r="C1" s="30"/>
      <x:c r="D1" s="30"/>
    </x:row>
    <x:row r="2">
      <x:c r="A2" s="31"/>
      <x:c r="B2" s="31"/>
      <x:c r="C2" s="31"/>
      <x:c r="D2" s="31"/>
    </x:row>
    <x:row r="3">
      <x:c r="A3" s="32" t="str">
        <x:v>Input / calculation</x:v>
      </x:c>
      <x:c r="B3" s="32" t="str">
        <x:v>Value</x:v>
      </x:c>
      <x:c r="C3" s="32" t="str">
        <x:v>Unit</x:v>
      </x:c>
      <x:c r="D3" s="32" t="str">
        <x:v>Source / status</x:v>
      </x:c>
    </x:row>
    <x:row r="4">
      <x:c r="A4" s="31" t="str">
        <x:v>Problem B monthly volume</x:v>
      </x:c>
      <x:c r="B4" s="33" t="n">
        <x:v>4000</x:v>
      </x:c>
      <x:c r="C4" s="31" t="str">
        <x:v>referrals/month</x:v>
      </x:c>
      <x:c r="D4" s="31" t="str">
        <x:v>PE6201 A2 brief, Problem B, p.28</x:v>
      </x:c>
    </x:row>
    <x:row r="5">
      <x:c r="A5" s="31" t="str">
        <x:v>Triage nurse hourly rate</x:v>
      </x:c>
      <x:c r="B5" s="34" t="n">
        <x:v>55</x:v>
      </x:c>
      <x:c r="C5" s="31" t="str">
        <x:v>US$/hour</x:v>
      </x:c>
      <x:c r="D5" s="31" t="str">
        <x:v>PE6201 A2 brief, Problem B, p.28</x:v>
      </x:c>
    </x:row>
    <x:row r="6">
      <x:c r="A6" s="31" t="str">
        <x:v>Escalation handling time</x:v>
      </x:c>
      <x:c r="B6" s="35" t="n">
        <x:v>10</x:v>
      </x:c>
      <x:c r="C6" s="31" t="str">
        <x:v>minutes</x:v>
      </x:c>
      <x:c r="D6" s="31" t="str">
        <x:v>PE6201 A2 brief, Problem B, p.28</x:v>
      </x:c>
    </x:row>
    <x:row r="7">
      <x:c r="A7" s="31" t="str">
        <x:v>Failure cost per escalation</x:v>
      </x:c>
      <x:c r="B7" s="36" t="n">
        <x:f>B5*B6/60</x:f>
        <x:v>9.166666666666666</x:v>
      </x:c>
      <x:c r="C7" s="31" t="str">
        <x:v>US$/failure</x:v>
      </x:c>
      <x:c r="D7" s="31" t="str">
        <x:v>Formula: hourly rate × minutes / 60</x:v>
      </x:c>
    </x:row>
    <x:row r="8">
      <x:c r="A8" s="31" t="str">
        <x:v>Layer-3 fixed monthly cost</x:v>
      </x:c>
      <x:c r="B8" s="34" t="n">
        <x:v>150</x:v>
      </x:c>
      <x:c r="C8" s="31" t="str">
        <x:v>US$/month</x:v>
      </x:c>
      <x:c r="D8" s="31" t="str">
        <x:v>Team scenario assumption; editable</x:v>
      </x:c>
    </x:row>
    <x:row r="9">
      <x:c r="A9" s="31" t="str">
        <x:v>Sensitivity range</x:v>
      </x:c>
      <x:c r="B9" s="37" t="n">
        <x:v>0.1</x:v>
      </x:c>
      <x:c r="C9" s="31" t="str">
        <x:v>percentage points</x:v>
      </x:c>
      <x:c r="D9" s="31" t="str">
        <x:v>D6 brief requirement: ±10pp</x:v>
      </x:c>
    </x:row>
    <x:row r="10">
      <x:c r="A10" s="31" t="str">
        <x:v>Reference model for break-even</x:v>
      </x:c>
      <x:c r="B10" s="31" t="str">
        <x:v>openai/gpt-5.4</x:v>
      </x:c>
      <x:c r="C10" s="31" t="str"/>
      <x:c r="D10" s="31" t="str">
        <x:v>Highest measured deterministic code-pass rate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4.5" hidden="0" customWidth="1"/>
    <x:col min="4" max="4" width="9.880000114440918" hidden="0" customWidth="1"/>
    <x:col min="5" max="5" width="9.75" hidden="0" customWidth="1"/>
    <x:col min="6" max="6" width="10.130000114440918" hidden="0" customWidth="1"/>
    <x:col min="7" max="7" width="11.5" hidden="0" customWidth="1"/>
    <x:col min="8" max="8" width="8.630000114440918" hidden="0" customWidth="1"/>
    <x:col min="9" max="9" width="15.5" hidden="0" customWidth="1"/>
    <x:col min="10" max="10" width="9.25" hidden="0" customWidth="1"/>
    <x:col min="11" max="11" width="10.630000114440918" hidden="0" customWidth="1"/>
    <x:col min="12" max="12" width="16.6299991607666" hidden="0" customWidth="1"/>
    <x:col min="13" max="13" width="10.5" hidden="0" customWidth="1"/>
    <x:col min="14" max="14" width="12.880000114440918" hidden="0" customWidth="1"/>
    <x:col min="15" max="15" width="42" hidden="0" customWidth="1"/>
    <x:col min="16" max="16" width="6.25" hidden="0" customWidth="1"/>
    <x:col min="17" max="17" width="8.5" hidden="0" customWidth="1"/>
    <x:col min="18" max="18" width="14.5" hidden="0" customWidth="1"/>
    <x:col min="19" max="19" width="16" hidden="0" customWidth="1"/>
    <x:col min="20" max="20" width="36" hidden="0" customWidth="1"/>
    <x:col min="21" max="21" width="9.130000114440918" hidden="0" customWidth="1"/>
  </x:cols>
  <x:sheetData>
    <x:row r="1">
      <x:c r="A1" s="30" t="str">
        <x:v>Five final-v2 live batteries — measured inputs</x:v>
      </x:c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</x:row>
    <x:row r="2">
      <x:c r="A2" s="31"/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</x:row>
    <x:row r="3">
      <x:c r="A3" s="32" t="str">
        <x:v>Model label</x:v>
      </x:c>
      <x:c r="B3" s="32" t="str">
        <x:v>Model ID</x:v>
      </x:c>
      <x:c r="C3" s="32" t="str">
        <x:v>Trials</x:v>
      </x:c>
      <x:c r="D3" s="32" t="str">
        <x:v>Code passes</x:v>
      </x:c>
      <x:c r="E3" s="32" t="str">
        <x:v>Success rate</x:v>
      </x:c>
      <x:c r="F3" s="32" t="str">
        <x:v>Input tokens</x:v>
      </x:c>
      <x:c r="G3" s="32" t="str">
        <x:v>Output tokens</x:v>
      </x:c>
      <x:c r="H3" s="32" t="str">
        <x:v>Error trials</x:v>
      </x:c>
      <x:c r="I3" s="32" t="str">
        <x:v>Judgement pending</x:v>
      </x:c>
      <x:c r="J3" s="32" t="str">
        <x:v>Input $/1M</x:v>
      </x:c>
      <x:c r="K3" s="32" t="str">
        <x:v>Output $/1M</x:v>
      </x:c>
      <x:c r="L3" s="32" t="str">
        <x:v>Exact price-book cost</x:v>
      </x:c>
      <x:c r="M3" s="32" t="str">
        <x:v>Provider cost</x:v>
      </x:c>
      <x:c r="N3" s="32" t="str">
        <x:v>Model cost/task</x:v>
      </x:c>
      <x:c r="O3" s="32" t="str">
        <x:v>Freeze SHA</x:v>
      </x:c>
      <x:c r="P3" s="32" t="str">
        <x:v>Prompt</x:v>
      </x:c>
      <x:c r="Q3" s="32" t="str">
        <x:v>Descriptor</x:v>
      </x:c>
      <x:c r="R3" s="32" t="str">
        <x:v>Tool version</x:v>
      </x:c>
      <x:c r="S3" s="32" t="str">
        <x:v>Token measurement</x:v>
      </x:c>
      <x:c r="T3" s="32" t="str">
        <x:v>Price source</x:v>
      </x:c>
      <x:c r="U3" s="32" t="str">
        <x:v>Price date</x:v>
      </x:c>
    </x:row>
    <x:row r="4">
      <x:c r="A4" s="58" t="str">
        <x:v>OpenAI GPT-5.4</x:v>
      </x:c>
      <x:c r="B4" s="58" t="str">
        <x:v>openai/gpt-5.4</x:v>
      </x:c>
      <x:c r="C4" s="58" t="n">
        <x:v>58</x:v>
      </x:c>
      <x:c r="D4" s="58" t="n">
        <x:v>25</x:v>
      </x:c>
      <x:c r="E4" s="59" t="n">
        <x:v>0.43103448275862066</x:v>
      </x:c>
      <x:c r="F4" s="60" t="n">
        <x:v>287085</x:v>
      </x:c>
      <x:c r="G4" s="60" t="n">
        <x:v>10898</x:v>
      </x:c>
      <x:c r="H4" s="60" t="n">
        <x:v>22</x:v>
      </x:c>
      <x:c r="I4" s="60" t="n">
        <x:v>3</x:v>
      </x:c>
      <x:c r="J4" s="61" t="n">
        <x:v>2.5</x:v>
      </x:c>
      <x:c r="K4" s="61" t="n">
        <x:v>15</x:v>
      </x:c>
      <x:c r="L4" s="61" t="n">
        <x:v>0.8811825</x:v>
      </x:c>
      <x:c r="M4" s="61" t="n">
        <x:v>0.8811825</x:v>
      </x:c>
      <x:c r="N4" s="61" t="n">
        <x:v>0.01519280172413793</x:v>
      </x:c>
      <x:c r="O4" s="58" t="str">
        <x:v>e36bb1b2fcad625ed944e7df863165d95c0ef53f</x:v>
      </x:c>
      <x:c r="P4" s="58" t="str">
        <x:v>v2</x:v>
      </x:c>
      <x:c r="Q4" s="58" t="str">
        <x:v>v2</x:v>
      </x:c>
      <x:c r="R4" s="58" t="str">
        <x:v>main-tool-contract</x:v>
      </x:c>
      <x:c r="S4" s="58" t="str">
        <x:v>api_reported</x:v>
      </x:c>
      <x:c r="T4" s="58" t="str">
        <x:v>https://openrouter.ai/openai/gpt-5.4</x:v>
      </x:c>
      <x:c r="U4" s="58" t="str">
        <x:v>2026-09-15</x:v>
      </x:c>
    </x:row>
    <x:row r="5">
      <x:c r="A5" s="58" t="str">
        <x:v>Moonshot Kimi K2.6</x:v>
      </x:c>
      <x:c r="B5" s="58" t="str">
        <x:v>moonshotai/kimi-k2.6</x:v>
      </x:c>
      <x:c r="C5" s="58" t="n">
        <x:v>58</x:v>
      </x:c>
      <x:c r="D5" s="58" t="n">
        <x:v>15</x:v>
      </x:c>
      <x:c r="E5" s="59" t="n">
        <x:v>0.25862068965517243</x:v>
      </x:c>
      <x:c r="F5" s="60" t="n">
        <x:v>263325</x:v>
      </x:c>
      <x:c r="G5" s="60" t="n">
        <x:v>52112</x:v>
      </x:c>
      <x:c r="H5" s="60" t="n">
        <x:v>31</x:v>
      </x:c>
      <x:c r="I5" s="60" t="n">
        <x:v>3</x:v>
      </x:c>
      <x:c r="J5" s="61" t="n">
        <x:v>0.58</x:v>
      </x:c>
      <x:c r="K5" s="61" t="n">
        <x:v>3.4</x:v>
      </x:c>
      <x:c r="L5" s="61" t="n">
        <x:v>0.32990929999999996</x:v>
      </x:c>
      <x:c r="M5" s="61" t="n">
        <x:v>0.24100017000000004</x:v>
      </x:c>
      <x:c r="N5" s="61" t="n">
        <x:v>0.005688091379310345</x:v>
      </x:c>
      <x:c r="O5" s="58" t="str">
        <x:v>e36bb1b2fcad625ed944e7df863165d95c0ef53f</x:v>
      </x:c>
      <x:c r="P5" s="58" t="str">
        <x:v>v2</x:v>
      </x:c>
      <x:c r="Q5" s="58" t="str">
        <x:v>v2</x:v>
      </x:c>
      <x:c r="R5" s="58" t="str">
        <x:v>main-tool-contract</x:v>
      </x:c>
      <x:c r="S5" s="58" t="str">
        <x:v>api_reported</x:v>
      </x:c>
      <x:c r="T5" s="58" t="str">
        <x:v>https://openrouter.ai/moonshotai/kimi-k2.6</x:v>
      </x:c>
      <x:c r="U5" s="58" t="str">
        <x:v>2026-09-16</x:v>
      </x:c>
    </x:row>
    <x:row r="6">
      <x:c r="A6" s="58" t="str">
        <x:v>Anthropic Claude Sonnet 4.6</x:v>
      </x:c>
      <x:c r="B6" s="58" t="str">
        <x:v>anthropic/claude-sonnet-4.6</x:v>
      </x:c>
      <x:c r="C6" s="58" t="n">
        <x:v>58</x:v>
      </x:c>
      <x:c r="D6" s="58" t="n">
        <x:v>10</x:v>
      </x:c>
      <x:c r="E6" s="59" t="n">
        <x:v>0.1724137931034483</x:v>
      </x:c>
      <x:c r="F6" s="60" t="n">
        <x:v>233897</x:v>
      </x:c>
      <x:c r="G6" s="60" t="n">
        <x:v>13221</x:v>
      </x:c>
      <x:c r="H6" s="60" t="n">
        <x:v>48</x:v>
      </x:c>
      <x:c r="I6" s="60" t="n">
        <x:v>3</x:v>
      </x:c>
      <x:c r="J6" s="61" t="n">
        <x:v>3</x:v>
      </x:c>
      <x:c r="K6" s="61" t="n">
        <x:v>15</x:v>
      </x:c>
      <x:c r="L6" s="61" t="n">
        <x:v>0.900006</x:v>
      </x:c>
      <x:c r="M6" s="61" t="n">
        <x:v>0.900006</x:v>
      </x:c>
      <x:c r="N6" s="61" t="n">
        <x:v>0.015517344827586207</x:v>
      </x:c>
      <x:c r="O6" s="58" t="str">
        <x:v>e36bb1b2fcad625ed944e7df863165d95c0ef53f</x:v>
      </x:c>
      <x:c r="P6" s="58" t="str">
        <x:v>v2</x:v>
      </x:c>
      <x:c r="Q6" s="58" t="str">
        <x:v>v2</x:v>
      </x:c>
      <x:c r="R6" s="58" t="str">
        <x:v>main-tool-contract</x:v>
      </x:c>
      <x:c r="S6" s="58" t="str">
        <x:v>api_reported</x:v>
      </x:c>
      <x:c r="T6" s="58" t="str">
        <x:v>https://openrouter.ai/anthropic/claude-sonnet-4.6/pricing</x:v>
      </x:c>
      <x:c r="U6" s="58" t="str">
        <x:v>2026-09-16</x:v>
      </x:c>
    </x:row>
    <x:row r="7">
      <x:c r="A7" s="58" t="str">
        <x:v>DeepSeek V4 Pro</x:v>
      </x:c>
      <x:c r="B7" s="58" t="str">
        <x:v>deepseek/deepseek-v4-pro</x:v>
      </x:c>
      <x:c r="C7" s="58" t="n">
        <x:v>58</x:v>
      </x:c>
      <x:c r="D7" s="58" t="n">
        <x:v>4</x:v>
      </x:c>
      <x:c r="E7" s="59" t="n">
        <x:v>0.06896551724137931</x:v>
      </x:c>
      <x:c r="F7" s="60" t="n">
        <x:v>196625</x:v>
      </x:c>
      <x:c r="G7" s="60" t="n">
        <x:v>24437</x:v>
      </x:c>
      <x:c r="H7" s="60" t="n">
        <x:v>50</x:v>
      </x:c>
      <x:c r="I7" s="60" t="n">
        <x:v>3</x:v>
      </x:c>
      <x:c r="J7" s="61" t="n">
        <x:v>0.87</x:v>
      </x:c>
      <x:c r="K7" s="61" t="n">
        <x:v>1.74</x:v>
      </x:c>
      <x:c r="L7" s="61" t="n">
        <x:v>0.21358412999999998</x:v>
      </x:c>
      <x:c r="M7" s="61" t="n">
        <x:v>0.17864116</x:v>
      </x:c>
      <x:c r="N7" s="61" t="n">
        <x:v>0.0036824849999999997</x:v>
      </x:c>
      <x:c r="O7" s="58" t="str">
        <x:v>e36bb1b2fcad625ed944e7df863165d95c0ef53f</x:v>
      </x:c>
      <x:c r="P7" s="58" t="str">
        <x:v>v2</x:v>
      </x:c>
      <x:c r="Q7" s="58" t="str">
        <x:v>v2</x:v>
      </x:c>
      <x:c r="R7" s="58" t="str">
        <x:v>main-tool-contract</x:v>
      </x:c>
      <x:c r="S7" s="58" t="str">
        <x:v>api_reported</x:v>
      </x:c>
      <x:c r="T7" s="58" t="str">
        <x:v>https://openrouter.ai/deepseek/deepseek-v4-pro/api</x:v>
      </x:c>
      <x:c r="U7" s="58" t="str">
        <x:v>2026-09-17</x:v>
      </x:c>
    </x:row>
    <x:row r="8">
      <x:c r="A8" s="58" t="str">
        <x:v>Google Gemini 3.7 Flash</x:v>
      </x:c>
      <x:c r="B8" s="58" t="str">
        <x:v>google/gemini-3.7-flash</x:v>
      </x:c>
      <x:c r="C8" s="58" t="n">
        <x:v>58</x:v>
      </x:c>
      <x:c r="D8" s="58" t="n">
        <x:v>6</x:v>
      </x:c>
      <x:c r="E8" s="59" t="n">
        <x:v>0.10344827586206896</x:v>
      </x:c>
      <x:c r="F8" s="60" t="n">
        <x:v>132992</x:v>
      </x:c>
      <x:c r="G8" s="60" t="n">
        <x:v>17498</x:v>
      </x:c>
      <x:c r="H8" s="60" t="n">
        <x:v>49</x:v>
      </x:c>
      <x:c r="I8" s="60" t="n">
        <x:v>3</x:v>
      </x:c>
      <x:c r="J8" s="61" t="n">
        <x:v>0.75</x:v>
      </x:c>
      <x:c r="K8" s="61" t="n">
        <x:v>3.75</x:v>
      </x:c>
      <x:c r="L8" s="61" t="n">
        <x:v>0.1653615</x:v>
      </x:c>
      <x:c r="M8" s="61" t="n">
        <x:v>0.1653615</x:v>
      </x:c>
      <x:c r="N8" s="61" t="n">
        <x:v>0.002851060344827586</x:v>
      </x:c>
      <x:c r="O8" s="58" t="str">
        <x:v>e36bb1b2fcad625ed944e7df863165d95c0ef53f</x:v>
      </x:c>
      <x:c r="P8" s="58" t="str">
        <x:v>v2</x:v>
      </x:c>
      <x:c r="Q8" s="58" t="str">
        <x:v>v2</x:v>
      </x:c>
      <x:c r="R8" s="58" t="str">
        <x:v>main-tool-contract</x:v>
      </x:c>
      <x:c r="S8" s="58" t="str">
        <x:v>api_reported</x:v>
      </x:c>
      <x:c r="T8" s="58" t="str">
        <x:v>https://openrouter.ai/google/gemini-3.7-flash</x:v>
      </x:c>
      <x:c r="U8" s="58" t="str">
        <x:v>2026-09-17</x:v>
      </x:c>
    </x:row>
  </x:sheetData>
  <x:mergeCells>
    <x:mergeCell ref="A1:U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.5" hidden="0" customWidth="1"/>
    <x:col min="3" max="3" width="9.75" hidden="0" customWidth="1"/>
    <x:col min="4" max="4" width="10.130000114440918" hidden="0" customWidth="1"/>
    <x:col min="5" max="5" width="18.6299991607666" hidden="0" customWidth="1"/>
    <x:col min="6" max="6" width="16.25" hidden="0" customWidth="1"/>
    <x:col min="7" max="7" width="14.5" hidden="0" customWidth="1"/>
    <x:col min="8" max="8" width="16.6299991607666" hidden="0" customWidth="1"/>
    <x:col min="9" max="9" width="16" hidden="0" customWidth="1"/>
    <x:col min="10" max="10" width="11" hidden="0" customWidth="1"/>
    <x:col min="11" max="11" width="13.5" hidden="0" customWidth="1"/>
    <x:col min="12" max="12" width="48" hidden="0" customWidth="1"/>
  </x:cols>
  <x:sheetData>
    <x:row r="1">
      <x:c r="A1" s="30" t="str">
        <x:v>D6 three-layer cost-to-serve baseline — official Problem B inputs</x:v>
      </x:c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</x:row>
    <x:row r="2">
      <x:c r="A2" s="31"/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</x:row>
    <x:row r="3">
      <x:c r="A3" s="47" t="str">
        <x:v>Model</x:v>
      </x:c>
      <x:c r="B3" s="47" t="str">
        <x:v>Trials</x:v>
      </x:c>
      <x:c r="C3" s="47" t="str">
        <x:v>Success rate</x:v>
      </x:c>
      <x:c r="D3" s="47" t="str">
        <x:v>Fallback rate</x:v>
      </x:c>
      <x:c r="E3" s="47" t="str">
        <x:v>Layer 1 model cost/task</x:v>
      </x:c>
      <x:c r="F3" s="47" t="str">
        <x:v>Layer 2 fallback/task</x:v>
      </x:c>
      <x:c r="G3" s="47" t="str">
        <x:v>Cost-to-serve/task</x:v>
      </x:c>
      <x:c r="H3" s="47" t="str">
        <x:v>Monthly before fixed</x:v>
      </x:c>
      <x:c r="I3" s="47" t="str">
        <x:v>Layer 3 fixed/month</x:v>
      </x:c>
      <x:c r="J3" s="47" t="str">
        <x:v>Monthly total</x:v>
      </x:c>
      <x:c r="K3" s="47" t="str">
        <x:v>Provider API cost</x:v>
      </x:c>
      <x:c r="L3" s="47" t="str">
        <x:v>Notes</x:v>
      </x:c>
    </x:row>
    <x:row r="4">
      <x:c r="A4" s="58" t="str">
        <x:v>openai/gpt-5.4</x:v>
      </x:c>
      <x:c r="B4" s="58" t="n">
        <x:v>58</x:v>
      </x:c>
      <x:c r="C4" s="59" t="n">
        <x:v>0.43103448275862066</x:v>
      </x:c>
      <x:c r="D4" s="59" t="n">
        <x:v>0.5689655172413793</x:v>
      </x:c>
      <x:c r="E4" s="68" t="n">
        <x:v>0.01519280172413793</x:v>
      </x:c>
      <x:c r="F4" s="68" t="n">
        <x:v>5.2155172413793105</x:v>
      </x:c>
      <x:c r="G4" s="68" t="n">
        <x:v>5.230710043103448</x:v>
      </x:c>
      <x:c r="H4" s="68" t="n">
        <x:v>20922.84017241379</x:v>
      </x:c>
      <x:c r="I4" s="68" t="n">
        <x:v>150</x:v>
      </x:c>
      <x:c r="J4" s="68" t="n">
        <x:v>21072.84017241379</x:v>
      </x:c>
      <x:c r="K4" s="68" t="n">
        <x:v>0.8811825</x:v>
      </x:c>
      <x:c r="L4" s="58" t="str">
        <x:v>Layer 1 uses measured tokens and recorded list prices; Layer 2 uses official Problem B failure cost.</x:v>
      </x:c>
    </x:row>
    <x:row r="5">
      <x:c r="A5" s="58" t="str">
        <x:v>moonshotai/kimi-k2.6</x:v>
      </x:c>
      <x:c r="B5" s="58" t="n">
        <x:v>58</x:v>
      </x:c>
      <x:c r="C5" s="59" t="n">
        <x:v>0.25862068965517243</x:v>
      </x:c>
      <x:c r="D5" s="59" t="n">
        <x:v>0.7413793103448276</x:v>
      </x:c>
      <x:c r="E5" s="68" t="n">
        <x:v>0.005688091379310345</x:v>
      </x:c>
      <x:c r="F5" s="68" t="n">
        <x:v>6.795977011494252</x:v>
      </x:c>
      <x:c r="G5" s="68" t="n">
        <x:v>6.801665102873563</x:v>
      </x:c>
      <x:c r="H5" s="68" t="n">
        <x:v>27206.660411494253</x:v>
      </x:c>
      <x:c r="I5" s="68" t="n">
        <x:v>150</x:v>
      </x:c>
      <x:c r="J5" s="68" t="n">
        <x:v>27356.660411494253</x:v>
      </x:c>
      <x:c r="K5" s="68" t="n">
        <x:v>0.24100017000000004</x:v>
      </x:c>
      <x:c r="L5" s="58" t="str">
        <x:v>Layer 1 uses measured tokens and recorded list prices; Layer 2 uses official Problem B failure cost.</x:v>
      </x:c>
    </x:row>
    <x:row r="6">
      <x:c r="A6" s="58" t="str">
        <x:v>anthropic/claude-sonnet-4.6</x:v>
      </x:c>
      <x:c r="B6" s="58" t="n">
        <x:v>58</x:v>
      </x:c>
      <x:c r="C6" s="59" t="n">
        <x:v>0.1724137931034483</x:v>
      </x:c>
      <x:c r="D6" s="59" t="n">
        <x:v>0.8275862068965517</x:v>
      </x:c>
      <x:c r="E6" s="68" t="n">
        <x:v>0.015517344827586207</x:v>
      </x:c>
      <x:c r="F6" s="68" t="n">
        <x:v>7.586206896551723</x:v>
      </x:c>
      <x:c r="G6" s="68" t="n">
        <x:v>7.601724241379309</x:v>
      </x:c>
      <x:c r="H6" s="68" t="n">
        <x:v>30406.896965517237</x:v>
      </x:c>
      <x:c r="I6" s="68" t="n">
        <x:v>150</x:v>
      </x:c>
      <x:c r="J6" s="68" t="n">
        <x:v>30556.896965517237</x:v>
      </x:c>
      <x:c r="K6" s="68" t="n">
        <x:v>0.900006</x:v>
      </x:c>
      <x:c r="L6" s="58" t="str">
        <x:v>Layer 1 uses measured tokens and recorded list prices; Layer 2 uses official Problem B failure cost.</x:v>
      </x:c>
    </x:row>
    <x:row r="7">
      <x:c r="A7" s="58" t="str">
        <x:v>deepseek/deepseek-v4-pro</x:v>
      </x:c>
      <x:c r="B7" s="58" t="n">
        <x:v>58</x:v>
      </x:c>
      <x:c r="C7" s="59" t="n">
        <x:v>0.06896551724137931</x:v>
      </x:c>
      <x:c r="D7" s="59" t="n">
        <x:v>0.9310344827586207</x:v>
      </x:c>
      <x:c r="E7" s="68" t="n">
        <x:v>0.0036824849999999997</x:v>
      </x:c>
      <x:c r="F7" s="68" t="n">
        <x:v>8.534482758620689</x:v>
      </x:c>
      <x:c r="G7" s="68" t="n">
        <x:v>8.53816524362069</x:v>
      </x:c>
      <x:c r="H7" s="68" t="n">
        <x:v>34152.66097448276</x:v>
      </x:c>
      <x:c r="I7" s="68" t="n">
        <x:v>150</x:v>
      </x:c>
      <x:c r="J7" s="68" t="n">
        <x:v>34302.66097448276</x:v>
      </x:c>
      <x:c r="K7" s="68" t="n">
        <x:v>0.17864116</x:v>
      </x:c>
      <x:c r="L7" s="58" t="str">
        <x:v>Layer 1 uses measured tokens and recorded list prices; Layer 2 uses official Problem B failure cost.</x:v>
      </x:c>
    </x:row>
    <x:row r="8">
      <x:c r="A8" s="58" t="str">
        <x:v>google/gemini-3.7-flash</x:v>
      </x:c>
      <x:c r="B8" s="58" t="n">
        <x:v>58</x:v>
      </x:c>
      <x:c r="C8" s="59" t="n">
        <x:v>0.10344827586206896</x:v>
      </x:c>
      <x:c r="D8" s="59" t="n">
        <x:v>0.896551724137931</x:v>
      </x:c>
      <x:c r="E8" s="68" t="n">
        <x:v>0.002851060344827586</x:v>
      </x:c>
      <x:c r="F8" s="68" t="n">
        <x:v>8.2183908045977</x:v>
      </x:c>
      <x:c r="G8" s="68" t="n">
        <x:v>8.221241864942527</x:v>
      </x:c>
      <x:c r="H8" s="68" t="n">
        <x:v>32884.96745977011</x:v>
      </x:c>
      <x:c r="I8" s="68" t="n">
        <x:v>150</x:v>
      </x:c>
      <x:c r="J8" s="68" t="n">
        <x:v>33034.96745977011</x:v>
      </x:c>
      <x:c r="K8" s="68" t="n">
        <x:v>0.1653615</x:v>
      </x:c>
      <x:c r="L8" s="58" t="str">
        <x:v>Layer 1 uses measured tokens and recorded list prices; Layer 2 uses official Problem B failure cost.</x:v>
      </x:c>
    </x:row>
  </x:sheetData>
  <x:mergeCells>
    <x:mergeCell ref="A1:L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22" hidden="0" customWidth="1"/>
    <x:col min="3" max="3" width="9.75" hidden="0" customWidth="1"/>
    <x:col min="4" max="4" width="10.130000114440918" hidden="0" customWidth="1"/>
    <x:col min="5" max="5" width="9.880000114440918" hidden="0" customWidth="1"/>
    <x:col min="6" max="6" width="9.880000114440918" hidden="0" customWidth="1"/>
    <x:col min="7" max="7" width="14.5" hidden="0" customWidth="1"/>
    <x:col min="8" max="8" width="11" hidden="0" customWidth="1"/>
  </x:cols>
  <x:sheetData>
    <x:row r="1">
      <x:c r="A1" s="30" t="str">
        <x:v>Success-rate sensitivity — ±10 percentage points</x:v>
      </x:c>
      <x:c r="B1" s="30"/>
      <x:c r="C1" s="30"/>
      <x:c r="D1" s="30"/>
      <x:c r="E1" s="30"/>
      <x:c r="F1" s="30"/>
      <x:c r="G1" s="30"/>
      <x:c r="H1" s="30"/>
    </x:row>
    <x:row r="2">
      <x:c r="A2" s="31"/>
      <x:c r="B2" s="31"/>
      <x:c r="C2" s="31"/>
      <x:c r="D2" s="31"/>
      <x:c r="E2" s="31"/>
      <x:c r="F2" s="31"/>
      <x:c r="G2" s="31"/>
      <x:c r="H2" s="31"/>
    </x:row>
    <x:row r="3">
      <x:c r="A3" s="47" t="str">
        <x:v>Model</x:v>
      </x:c>
      <x:c r="B3" s="47" t="str">
        <x:v>Scenario</x:v>
      </x:c>
      <x:c r="C3" s="47" t="str">
        <x:v>Success rate</x:v>
      </x:c>
      <x:c r="D3" s="47" t="str">
        <x:v>Fallback rate</x:v>
      </x:c>
      <x:c r="E3" s="47" t="str">
        <x:v>Layer 1/task</x:v>
      </x:c>
      <x:c r="F3" s="47" t="str">
        <x:v>Layer 2/task</x:v>
      </x:c>
      <x:c r="G3" s="47" t="str">
        <x:v>Cost-to-serve/task</x:v>
      </x:c>
      <x:c r="H3" s="47" t="str">
        <x:v>Monthly total</x:v>
      </x:c>
    </x:row>
    <x:row r="4">
      <x:c r="A4" s="31" t="str">
        <x:v>openai/gpt-5.4</x:v>
      </x:c>
      <x:c r="B4" s="31" t="str">
        <x:v>base</x:v>
      </x:c>
      <x:c r="C4" s="74" t="n">
        <x:v>0.43103448275862066</x:v>
      </x:c>
      <x:c r="D4" s="74" t="n">
        <x:v>0.5689655172413793</x:v>
      </x:c>
      <x:c r="E4" s="75" t="n">
        <x:v>0.01519280172413793</x:v>
      </x:c>
      <x:c r="F4" s="75" t="n">
        <x:v>5.2155172413793105</x:v>
      </x:c>
      <x:c r="G4" s="75" t="n">
        <x:v>5.230710043103448</x:v>
      </x:c>
      <x:c r="H4" s="75" t="n">
        <x:v>21072.84017241379</x:v>
      </x:c>
    </x:row>
    <x:row r="5">
      <x:c r="A5" s="31" t="str">
        <x:v>openai/gpt-5.4</x:v>
      </x:c>
      <x:c r="B5" s="31" t="str">
        <x:v>success_minus_10pp</x:v>
      </x:c>
      <x:c r="C5" s="74" t="n">
        <x:v>0.3310344827586207</x:v>
      </x:c>
      <x:c r="D5" s="74" t="n">
        <x:v>0.6689655172413793</x:v>
      </x:c>
      <x:c r="E5" s="75" t="n">
        <x:v>0.01519280172413793</x:v>
      </x:c>
      <x:c r="F5" s="75" t="n">
        <x:v>6.132183908045977</x:v>
      </x:c>
      <x:c r="G5" s="75" t="n">
        <x:v>6.147376709770114</x:v>
      </x:c>
      <x:c r="H5" s="75" t="n">
        <x:v>24739.506839080455</x:v>
      </x:c>
    </x:row>
    <x:row r="6">
      <x:c r="A6" s="31" t="str">
        <x:v>openai/gpt-5.4</x:v>
      </x:c>
      <x:c r="B6" s="31" t="str">
        <x:v>success_plus_10pp</x:v>
      </x:c>
      <x:c r="C6" s="74" t="n">
        <x:v>0.5310344827586206</x:v>
      </x:c>
      <x:c r="D6" s="74" t="n">
        <x:v>0.46896551724137936</x:v>
      </x:c>
      <x:c r="E6" s="75" t="n">
        <x:v>0.01519280172413793</x:v>
      </x:c>
      <x:c r="F6" s="75" t="n">
        <x:v>4.2988505747126435</x:v>
      </x:c>
      <x:c r="G6" s="75" t="n">
        <x:v>4.314043376436781</x:v>
      </x:c>
      <x:c r="H6" s="75" t="n">
        <x:v>17406.173505747123</x:v>
      </x:c>
    </x:row>
    <x:row r="7">
      <x:c r="A7" s="31" t="str">
        <x:v>moonshotai/kimi-k2.6</x:v>
      </x:c>
      <x:c r="B7" s="31" t="str">
        <x:v>base</x:v>
      </x:c>
      <x:c r="C7" s="74" t="n">
        <x:v>0.25862068965517243</x:v>
      </x:c>
      <x:c r="D7" s="74" t="n">
        <x:v>0.7413793103448276</x:v>
      </x:c>
      <x:c r="E7" s="75" t="n">
        <x:v>0.005688091379310345</x:v>
      </x:c>
      <x:c r="F7" s="75" t="n">
        <x:v>6.795977011494252</x:v>
      </x:c>
      <x:c r="G7" s="75" t="n">
        <x:v>6.801665102873563</x:v>
      </x:c>
      <x:c r="H7" s="75" t="n">
        <x:v>27356.660411494253</x:v>
      </x:c>
    </x:row>
    <x:row r="8">
      <x:c r="A8" s="31" t="str">
        <x:v>moonshotai/kimi-k2.6</x:v>
      </x:c>
      <x:c r="B8" s="31" t="str">
        <x:v>success_minus_10pp</x:v>
      </x:c>
      <x:c r="C8" s="74" t="n">
        <x:v>0.15862068965517243</x:v>
      </x:c>
      <x:c r="D8" s="74" t="n">
        <x:v>0.8413793103448276</x:v>
      </x:c>
      <x:c r="E8" s="75" t="n">
        <x:v>0.005688091379310345</x:v>
      </x:c>
      <x:c r="F8" s="75" t="n">
        <x:v>7.712643678160919</x:v>
      </x:c>
      <x:c r="G8" s="75" t="n">
        <x:v>7.71833176954023</x:v>
      </x:c>
      <x:c r="H8" s="75" t="n">
        <x:v>31023.32707816092</x:v>
      </x:c>
    </x:row>
    <x:row r="9">
      <x:c r="A9" s="31" t="str">
        <x:v>moonshotai/kimi-k2.6</x:v>
      </x:c>
      <x:c r="B9" s="31" t="str">
        <x:v>success_plus_10pp</x:v>
      </x:c>
      <x:c r="C9" s="74" t="n">
        <x:v>0.35862068965517246</x:v>
      </x:c>
      <x:c r="D9" s="74" t="n">
        <x:v>0.6413793103448275</x:v>
      </x:c>
      <x:c r="E9" s="75" t="n">
        <x:v>0.005688091379310345</x:v>
      </x:c>
      <x:c r="F9" s="75" t="n">
        <x:v>5.879310344827585</x:v>
      </x:c>
      <x:c r="G9" s="75" t="n">
        <x:v>5.884998436206896</x:v>
      </x:c>
      <x:c r="H9" s="75" t="n">
        <x:v>23689.993744827585</x:v>
      </x:c>
    </x:row>
    <x:row r="10">
      <x:c r="A10" s="31" t="str">
        <x:v>anthropic/claude-sonnet-4.6</x:v>
      </x:c>
      <x:c r="B10" s="31" t="str">
        <x:v>base</x:v>
      </x:c>
      <x:c r="C10" s="74" t="n">
        <x:v>0.1724137931034483</x:v>
      </x:c>
      <x:c r="D10" s="74" t="n">
        <x:v>0.8275862068965517</x:v>
      </x:c>
      <x:c r="E10" s="75" t="n">
        <x:v>0.015517344827586207</x:v>
      </x:c>
      <x:c r="F10" s="75" t="n">
        <x:v>7.586206896551723</x:v>
      </x:c>
      <x:c r="G10" s="75" t="n">
        <x:v>7.601724241379309</x:v>
      </x:c>
      <x:c r="H10" s="75" t="n">
        <x:v>30556.896965517237</x:v>
      </x:c>
    </x:row>
    <x:row r="11">
      <x:c r="A11" s="31" t="str">
        <x:v>anthropic/claude-sonnet-4.6</x:v>
      </x:c>
      <x:c r="B11" s="31" t="str">
        <x:v>success_minus_10pp</x:v>
      </x:c>
      <x:c r="C11" s="74" t="n">
        <x:v>0.07241379310344828</x:v>
      </x:c>
      <x:c r="D11" s="74" t="n">
        <x:v>0.9275862068965517</x:v>
      </x:c>
      <x:c r="E11" s="75" t="n">
        <x:v>0.015517344827586207</x:v>
      </x:c>
      <x:c r="F11" s="75" t="n">
        <x:v>8.50287356321839</x:v>
      </x:c>
      <x:c r="G11" s="75" t="n">
        <x:v>8.518390908045976</x:v>
      </x:c>
      <x:c r="H11" s="75" t="n">
        <x:v>34223.563632183905</x:v>
      </x:c>
    </x:row>
    <x:row r="12">
      <x:c r="A12" s="31" t="str">
        <x:v>anthropic/claude-sonnet-4.6</x:v>
      </x:c>
      <x:c r="B12" s="31" t="str">
        <x:v>success_plus_10pp</x:v>
      </x:c>
      <x:c r="C12" s="74" t="n">
        <x:v>0.27241379310344827</x:v>
      </x:c>
      <x:c r="D12" s="74" t="n">
        <x:v>0.7275862068965517</x:v>
      </x:c>
      <x:c r="E12" s="75" t="n">
        <x:v>0.015517344827586207</x:v>
      </x:c>
      <x:c r="F12" s="75" t="n">
        <x:v>6.669540229885057</x:v>
      </x:c>
      <x:c r="G12" s="75" t="n">
        <x:v>6.685057574712643</x:v>
      </x:c>
      <x:c r="H12" s="75" t="n">
        <x:v>26890.230298850573</x:v>
      </x:c>
    </x:row>
    <x:row r="13">
      <x:c r="A13" s="31" t="str">
        <x:v>deepseek/deepseek-v4-pro</x:v>
      </x:c>
      <x:c r="B13" s="31" t="str">
        <x:v>base</x:v>
      </x:c>
      <x:c r="C13" s="74" t="n">
        <x:v>0.06896551724137931</x:v>
      </x:c>
      <x:c r="D13" s="74" t="n">
        <x:v>0.9310344827586207</x:v>
      </x:c>
      <x:c r="E13" s="75" t="n">
        <x:v>0.0036824849999999997</x:v>
      </x:c>
      <x:c r="F13" s="75" t="n">
        <x:v>8.534482758620689</x:v>
      </x:c>
      <x:c r="G13" s="75" t="n">
        <x:v>8.53816524362069</x:v>
      </x:c>
      <x:c r="H13" s="75" t="n">
        <x:v>34302.66097448276</x:v>
      </x:c>
    </x:row>
    <x:row r="14">
      <x:c r="A14" s="31" t="str">
        <x:v>deepseek/deepseek-v4-pro</x:v>
      </x:c>
      <x:c r="B14" s="31" t="str">
        <x:v>success_minus_10pp</x:v>
      </x:c>
      <x:c r="C14" s="74" t="n">
        <x:v>0</x:v>
      </x:c>
      <x:c r="D14" s="74" t="n">
        <x:v>1</x:v>
      </x:c>
      <x:c r="E14" s="75" t="n">
        <x:v>0.0036824849999999997</x:v>
      </x:c>
      <x:c r="F14" s="75" t="n">
        <x:v>9.166666666666666</x:v>
      </x:c>
      <x:c r="G14" s="75" t="n">
        <x:v>9.170349151666667</x:v>
      </x:c>
      <x:c r="H14" s="75" t="n">
        <x:v>36831.39660666667</x:v>
      </x:c>
    </x:row>
    <x:row r="15">
      <x:c r="A15" s="31" t="str">
        <x:v>deepseek/deepseek-v4-pro</x:v>
      </x:c>
      <x:c r="B15" s="31" t="str">
        <x:v>success_plus_10pp</x:v>
      </x:c>
      <x:c r="C15" s="74" t="n">
        <x:v>0.16896551724137931</x:v>
      </x:c>
      <x:c r="D15" s="74" t="n">
        <x:v>0.8310344827586207</x:v>
      </x:c>
      <x:c r="E15" s="75" t="n">
        <x:v>0.0036824849999999997</x:v>
      </x:c>
      <x:c r="F15" s="75" t="n">
        <x:v>7.6178160919540225</x:v>
      </x:c>
      <x:c r="G15" s="75" t="n">
        <x:v>7.621498576954022</x:v>
      </x:c>
      <x:c r="H15" s="75" t="n">
        <x:v>30635.99430781609</x:v>
      </x:c>
    </x:row>
    <x:row r="16">
      <x:c r="A16" s="31" t="str">
        <x:v>google/gemini-3.7-flash</x:v>
      </x:c>
      <x:c r="B16" s="31" t="str">
        <x:v>base</x:v>
      </x:c>
      <x:c r="C16" s="74" t="n">
        <x:v>0.10344827586206896</x:v>
      </x:c>
      <x:c r="D16" s="74" t="n">
        <x:v>0.896551724137931</x:v>
      </x:c>
      <x:c r="E16" s="75" t="n">
        <x:v>0.002851060344827586</x:v>
      </x:c>
      <x:c r="F16" s="75" t="n">
        <x:v>8.2183908045977</x:v>
      </x:c>
      <x:c r="G16" s="75" t="n">
        <x:v>8.221241864942527</x:v>
      </x:c>
      <x:c r="H16" s="75" t="n">
        <x:v>33034.96745977011</x:v>
      </x:c>
    </x:row>
    <x:row r="17">
      <x:c r="A17" s="31" t="str">
        <x:v>google/gemini-3.7-flash</x:v>
      </x:c>
      <x:c r="B17" s="31" t="str">
        <x:v>success_minus_10pp</x:v>
      </x:c>
      <x:c r="C17" s="74" t="n">
        <x:v>0.0034482758620689585</x:v>
      </x:c>
      <x:c r="D17" s="74" t="n">
        <x:v>0.996551724137931</x:v>
      </x:c>
      <x:c r="E17" s="75" t="n">
        <x:v>0.002851060344827586</x:v>
      </x:c>
      <x:c r="F17" s="75" t="n">
        <x:v>9.135057471264368</x:v>
      </x:c>
      <x:c r="G17" s="75" t="n">
        <x:v>9.137908531609195</x:v>
      </x:c>
      <x:c r="H17" s="75" t="n">
        <x:v>36701.63412643678</x:v>
      </x:c>
    </x:row>
    <x:row r="18">
      <x:c r="A18" s="31" t="str">
        <x:v>google/gemini-3.7-flash</x:v>
      </x:c>
      <x:c r="B18" s="31" t="str">
        <x:v>success_plus_10pp</x:v>
      </x:c>
      <x:c r="C18" s="74" t="n">
        <x:v>0.20344827586206898</x:v>
      </x:c>
      <x:c r="D18" s="74" t="n">
        <x:v>0.796551724137931</x:v>
      </x:c>
      <x:c r="E18" s="75" t="n">
        <x:v>0.002851060344827586</x:v>
      </x:c>
      <x:c r="F18" s="75" t="n">
        <x:v>7.301724137931033</x:v>
      </x:c>
      <x:c r="G18" s="75" t="n">
        <x:v>7.30457519827586</x:v>
      </x:c>
      <x:c r="H18" s="75" t="n">
        <x:v>29368.30079310344</x:v>
      </x:c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15.130000114440918" hidden="0" customWidth="1"/>
    <x:col min="4" max="4" width="22.8799991607666" hidden="0" customWidth="1"/>
    <x:col min="5" max="5" width="9.25" hidden="0" customWidth="1"/>
    <x:col min="6" max="6" width="15.130000114440918" hidden="0" customWidth="1"/>
    <x:col min="7" max="7" width="14.25" hidden="0" customWidth="1"/>
    <x:col min="8" max="8" width="18" hidden="0" customWidth="1"/>
    <x:col min="9" max="9" width="14.880000114440918" hidden="0" customWidth="1"/>
    <x:col min="10" max="10" width="40" hidden="0" customWidth="1"/>
  </x:cols>
  <x:sheetData>
    <x:row r="1">
      <x:c r="A1" s="30" t="str">
        <x:v>D6 break-even analysis — cheaper models vs GPT-5.4 reference</x:v>
      </x:c>
      <x:c r="B1" s="30"/>
      <x:c r="C1" s="30"/>
      <x:c r="D1" s="30"/>
      <x:c r="E1" s="30"/>
      <x:c r="F1" s="30"/>
      <x:c r="G1" s="30"/>
      <x:c r="H1" s="30"/>
      <x:c r="I1" s="30"/>
      <x:c r="J1" s="30"/>
    </x:row>
    <x:row r="2">
      <x:c r="A2" s="31"/>
      <x:c r="B2" s="31"/>
      <x:c r="C2" s="31"/>
      <x:c r="D2" s="31"/>
      <x:c r="E2" s="31"/>
      <x:c r="F2" s="31"/>
      <x:c r="G2" s="31"/>
      <x:c r="H2" s="31"/>
      <x:c r="I2" s="31"/>
      <x:c r="J2" s="31"/>
    </x:row>
    <x:row r="3">
      <x:c r="A3" s="47" t="str">
        <x:v>Cheap model</x:v>
      </x:c>
      <x:c r="B3" s="47" t="str">
        <x:v>Reference model</x:v>
      </x:c>
      <x:c r="C3" s="47" t="str">
        <x:v>Cheap Layer 1/task</x:v>
      </x:c>
      <x:c r="D3" s="47" t="str">
        <x:v>Reference expected cost/task</x:v>
      </x:c>
      <x:c r="E3" s="47" t="str">
        <x:v>Failure cost</x:v>
      </x:c>
      <x:c r="F3" s="47" t="str">
        <x:v>Break-even success</x:v>
      </x:c>
      <x:c r="G3" s="47" t="str">
        <x:v>Measured success</x:v>
      </x:c>
      <x:c r="H3" s="47" t="str">
        <x:v>Gap to break-even (pp)</x:v>
      </x:c>
      <x:c r="I3" s="47" t="str">
        <x:v>Clears break-even?</x:v>
      </x:c>
      <x:c r="J3" s="47" t="str">
        <x:v>Interpretation</x:v>
      </x:c>
    </x:row>
    <x:row r="4">
      <x:c r="A4" s="31" t="str">
        <x:v>moonshotai/kimi-k2.6</x:v>
      </x:c>
      <x:c r="B4" s="31" t="str">
        <x:v>openai/gpt-5.4</x:v>
      </x:c>
      <x:c r="C4" s="84" t="n">
        <x:v>0.005688091379310345</x:v>
      </x:c>
      <x:c r="D4" s="84" t="n">
        <x:v>5.230710043103448</x:v>
      </x:c>
      <x:c r="E4" s="84" t="n">
        <x:v>9.166666666666666</x:v>
      </x:c>
      <x:c r="F4" s="74" t="n">
        <x:v>0.4299976052664577</x:v>
      </x:c>
      <x:c r="G4" s="74" t="n">
        <x:v>0.25862068965517243</x:v>
      </x:c>
      <x:c r="H4" s="85" t="n">
        <x:v>-17.137691561128527</x:v>
      </x:c>
      <x:c r="I4" s="86" t="b">
        <x:v>0</x:v>
      </x:c>
      <x:c r="J4" s="31" t="str">
        <x:v>Below break-even under measured code-pass rate.</x:v>
      </x:c>
    </x:row>
    <x:row r="5">
      <x:c r="A5" s="31" t="str">
        <x:v>deepseek/deepseek-v4-pro</x:v>
      </x:c>
      <x:c r="B5" s="31" t="str">
        <x:v>openai/gpt-5.4</x:v>
      </x:c>
      <x:c r="C5" s="84" t="n">
        <x:v>0.0036824849999999997</x:v>
      </x:c>
      <x:c r="D5" s="84" t="n">
        <x:v>5.230710043103448</x:v>
      </x:c>
      <x:c r="E5" s="84" t="n">
        <x:v>9.166666666666666</x:v>
      </x:c>
      <x:c r="F5" s="74" t="n">
        <x:v>0.42977881184326017</x:v>
      </x:c>
      <x:c r="G5" s="74" t="n">
        <x:v>0.06896551724137931</x:v>
      </x:c>
      <x:c r="H5" s="85" t="n">
        <x:v>-36.08132946018808</x:v>
      </x:c>
      <x:c r="I5" s="86" t="b">
        <x:v>0</x:v>
      </x:c>
      <x:c r="J5" s="31" t="str">
        <x:v>Below break-even under measured code-pass rate.</x:v>
      </x:c>
    </x:row>
    <x:row r="6">
      <x:c r="A6" s="31" t="str">
        <x:v>google/gemini-3.7-flash</x:v>
      </x:c>
      <x:c r="B6" s="31" t="str">
        <x:v>openai/gpt-5.4</x:v>
      </x:c>
      <x:c r="C6" s="84" t="n">
        <x:v>0.002851060344827586</x:v>
      </x:c>
      <x:c r="D6" s="84" t="n">
        <x:v>5.230710043103448</x:v>
      </x:c>
      <x:c r="E6" s="84" t="n">
        <x:v>9.166666666666666</x:v>
      </x:c>
      <x:c r="F6" s="74" t="n">
        <x:v>0.42968811097178683</x:v>
      </x:c>
      <x:c r="G6" s="74" t="n">
        <x:v>0.10344827586206896</x:v>
      </x:c>
      <x:c r="H6" s="85" t="n">
        <x:v>-32.62398351097179</x:v>
      </x:c>
      <x:c r="I6" s="86" t="b">
        <x:v>0</x:v>
      </x:c>
      <x:c r="J6" s="31" t="str">
        <x:v>Below break-even under measured code-pass rate.</x:v>
      </x:c>
    </x:row>
  </x:sheetData>
  <x:mergeCells>
    <x:mergeCell ref="A1:J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6.380000114440918" hidden="0" customWidth="1"/>
    <x:col min="3" max="3" width="12.880000114440918" hidden="0" customWidth="1"/>
    <x:col min="4" max="4" width="14.130000114440918" hidden="0" customWidth="1"/>
    <x:col min="5" max="5" width="11.630000114440918" hidden="0" customWidth="1"/>
    <x:col min="6" max="6" width="11" hidden="0" customWidth="1"/>
    <x:col min="7" max="7" width="15.25" hidden="0" customWidth="1"/>
    <x:col min="8" max="8" width="42" hidden="0" customWidth="1"/>
  </x:cols>
  <x:sheetData>
    <x:row r="1">
      <x:c r="A1" s="30" t="str">
        <x:v>D6 Executive Summary — corrected official Problem B baseline</x:v>
      </x:c>
      <x:c r="B1" s="30"/>
      <x:c r="C1" s="30"/>
      <x:c r="D1" s="30"/>
      <x:c r="E1" s="30"/>
      <x:c r="F1" s="30"/>
      <x:c r="G1" s="30"/>
      <x:c r="H1" s="30"/>
    </x:row>
    <x:row r="2">
      <x:c r="A2" s="31"/>
      <x:c r="B2" s="31"/>
      <x:c r="C2" s="31"/>
      <x:c r="D2" s="31"/>
      <x:c r="E2" s="31"/>
      <x:c r="F2" s="31"/>
      <x:c r="G2" s="31"/>
      <x:c r="H2" s="31"/>
    </x:row>
    <x:row r="3">
      <x:c r="A3" s="47" t="str">
        <x:v>Model</x:v>
      </x:c>
      <x:c r="B3" s="47" t="str">
        <x:v>Success</x:v>
      </x:c>
      <x:c r="C3" s="47" t="str">
        <x:v>Model cost/task</x:v>
      </x:c>
      <x:c r="D3" s="47" t="str">
        <x:v>Fallback cost/task</x:v>
      </x:c>
      <x:c r="E3" s="47" t="str">
        <x:v>Total cost/task</x:v>
      </x:c>
      <x:c r="F3" s="47" t="str">
        <x:v>Monthly total</x:v>
      </x:c>
      <x:c r="G3" s="47" t="str">
        <x:v>Monthly vs GPT-5.4</x:v>
      </x:c>
      <x:c r="H3" s="47" t="str">
        <x:v>Comment</x:v>
      </x:c>
      <x:c r="J3" t="str">
        <x:v>Model</x:v>
      </x:c>
      <x:c r="K3" t="str">
        <x:v>Monthly total</x:v>
      </x:c>
    </x:row>
    <x:row r="4">
      <x:c r="A4" s="31" t="str">
        <x:v>GPT-5.4</x:v>
      </x:c>
      <x:c r="B4" s="74" t="n">
        <x:v>0.43103448275862066</x:v>
      </x:c>
      <x:c r="C4" s="75" t="n">
        <x:v>0.01519280172413793</x:v>
      </x:c>
      <x:c r="D4" s="75" t="n">
        <x:v>5.2155172413793105</x:v>
      </x:c>
      <x:c r="E4" s="75" t="n">
        <x:v>5.230710043103448</x:v>
      </x:c>
      <x:c r="F4" s="75" t="n">
        <x:v>21072.84017241379</x:v>
      </x:c>
      <x:c r="G4" s="75" t="n">
        <x:v>0</x:v>
      </x:c>
      <x:c r="H4" s="31" t="str">
        <x:v>Highest measured code-pass rate.</x:v>
      </x:c>
      <x:c r="J4" t="str">
        <x:v>GPT-5.4</x:v>
      </x:c>
      <x:c r="K4" s="72" t="n">
        <x:v>21072.84017241379</x:v>
      </x:c>
    </x:row>
    <x:row r="5">
      <x:c r="A5" s="31" t="str">
        <x:v>Kimi K2.6</x:v>
      </x:c>
      <x:c r="B5" s="74" t="n">
        <x:v>0.25862068965517243</x:v>
      </x:c>
      <x:c r="C5" s="75" t="n">
        <x:v>0.005688091379310345</x:v>
      </x:c>
      <x:c r="D5" s="75" t="n">
        <x:v>6.795977011494252</x:v>
      </x:c>
      <x:c r="E5" s="75" t="n">
        <x:v>6.801665102873563</x:v>
      </x:c>
      <x:c r="F5" s="75" t="n">
        <x:v>27356.660411494253</x:v>
      </x:c>
      <x:c r="G5" s="75" t="n">
        <x:v>6283.820239080462</x:v>
      </x:c>
      <x:c r="H5" s="31" t="str">
        <x:v>Cheaper tokens, but higher fallback cost.</x:v>
      </x:c>
      <x:c r="J5" t="str">
        <x:v>Kimi K2.6</x:v>
      </x:c>
      <x:c r="K5" s="72" t="n">
        <x:v>27356.660411494253</x:v>
      </x:c>
    </x:row>
    <x:row r="6">
      <x:c r="A6" s="31" t="str">
        <x:v>Claude Sonnet 4.6</x:v>
      </x:c>
      <x:c r="B6" s="74" t="n">
        <x:v>0.1724137931034483</x:v>
      </x:c>
      <x:c r="C6" s="75" t="n">
        <x:v>0.015517344827586207</x:v>
      </x:c>
      <x:c r="D6" s="75" t="n">
        <x:v>7.586206896551723</x:v>
      </x:c>
      <x:c r="E6" s="75" t="n">
        <x:v>7.601724241379309</x:v>
      </x:c>
      <x:c r="F6" s="75" t="n">
        <x:v>30556.896965517237</x:v>
      </x:c>
      <x:c r="G6" s="75" t="n">
        <x:v>9484.056793103447</x:v>
      </x:c>
      <x:c r="H6" s="31" t="str">
        <x:v>Higher model cost and lower measured pass rate than GPT-5.4.</x:v>
      </x:c>
      <x:c r="J6" t="str">
        <x:v>Claude Sonnet 4.6</x:v>
      </x:c>
      <x:c r="K6" s="72" t="n">
        <x:v>30556.896965517237</x:v>
      </x:c>
    </x:row>
    <x:row r="7">
      <x:c r="A7" s="31" t="str">
        <x:v>DeepSeek V4 Pro</x:v>
      </x:c>
      <x:c r="B7" s="74" t="n">
        <x:v>0.06896551724137931</x:v>
      </x:c>
      <x:c r="C7" s="75" t="n">
        <x:v>0.0036824849999999997</x:v>
      </x:c>
      <x:c r="D7" s="75" t="n">
        <x:v>8.534482758620689</x:v>
      </x:c>
      <x:c r="E7" s="75" t="n">
        <x:v>8.53816524362069</x:v>
      </x:c>
      <x:c r="F7" s="75" t="n">
        <x:v>34302.66097448276</x:v>
      </x:c>
      <x:c r="G7" s="75" t="n">
        <x:v>13229.82080206897</x:v>
      </x:c>
      <x:c r="H7" s="31" t="str">
        <x:v>Low model cost, but fallback dominates.</x:v>
      </x:c>
      <x:c r="J7" t="str">
        <x:v>DeepSeek V4 Pro</x:v>
      </x:c>
      <x:c r="K7" s="72" t="n">
        <x:v>34302.66097448276</x:v>
      </x:c>
    </x:row>
    <x:row r="8">
      <x:c r="A8" s="31" t="str">
        <x:v>Gemini 3.7 Flash</x:v>
      </x:c>
      <x:c r="B8" s="74" t="n">
        <x:v>0.10344827586206896</x:v>
      </x:c>
      <x:c r="C8" s="75" t="n">
        <x:v>0.002851060344827586</x:v>
      </x:c>
      <x:c r="D8" s="75" t="n">
        <x:v>8.2183908045977</x:v>
      </x:c>
      <x:c r="E8" s="75" t="n">
        <x:v>8.221241864942527</x:v>
      </x:c>
      <x:c r="F8" s="75" t="n">
        <x:v>33034.96745977011</x:v>
      </x:c>
      <x:c r="G8" s="75" t="n">
        <x:v>11962.12728735632</x:v>
      </x:c>
      <x:c r="H8" s="31" t="str">
        <x:v>Lowest model-only cost; measured success remains far below break-even.</x:v>
      </x:c>
      <x:c r="J8" t="str">
        <x:v>Gemini 3.7 Flash</x:v>
      </x:c>
      <x:c r="K8" s="72" t="n">
        <x:v>33034.96745977011</x:v>
      </x:c>
    </x:row>
    <x:row r="9">
      <x:c r="A9" s="31"/>
      <x:c r="B9" s="31"/>
      <x:c r="C9" s="31"/>
      <x:c r="D9" s="31"/>
      <x:c r="E9" s="31"/>
      <x:c r="F9" s="31"/>
      <x:c r="G9" s="31"/>
      <x:c r="H9" s="31"/>
    </x:row>
    <x:row r="10">
      <x:c r="A10" s="92" t="str">
        <x:v>Key finding</x:v>
      </x:c>
      <x:c r="B10" s="92" t="str"/>
      <x:c r="C10" s="92" t="str"/>
      <x:c r="D10" s="92" t="str"/>
      <x:c r="E10" s="92" t="str"/>
      <x:c r="F10" s="92" t="str"/>
      <x:c r="G10" s="92" t="str"/>
      <x:c r="H10" s="92" t="str"/>
    </x:row>
    <x:row r="11">
      <x:c r="A11" s="31" t="str">
        <x:v>Official Problem B fallback cost</x:v>
      </x:c>
      <x:c r="B11" s="31" t="str">
        <x:v>US$9.17 per escalation</x:v>
      </x:c>
      <x:c r="C11" s="31" t="str"/>
      <x:c r="D11" s="31" t="str"/>
      <x:c r="E11" s="31" t="str"/>
      <x:c r="F11" s="31" t="str"/>
      <x:c r="G11" s="31" t="str"/>
      <x:c r="H11" s="31" t="str"/>
    </x:row>
    <x:row r="12">
      <x:c r="A12" s="31" t="str">
        <x:v>Official Problem B monthly volume</x:v>
      </x:c>
      <x:c r="B12" s="31" t="str">
        <x:v>4,000 referrals</x:v>
      </x:c>
      <x:c r="C12" s="31" t="str"/>
      <x:c r="D12" s="31" t="str"/>
      <x:c r="E12" s="31" t="str"/>
      <x:c r="F12" s="31" t="str"/>
      <x:c r="G12" s="31" t="str"/>
      <x:c r="H12" s="31" t="str"/>
    </x:row>
    <x:row r="13">
      <x:c r="A13" s="31" t="str">
        <x:v>+10pp success effect</x:v>
      </x:c>
      <x:c r="B13" s="31" t="str">
        <x:v>≈ US$3,666.67 lower fallback cost per month</x:v>
      </x:c>
      <x:c r="C13" s="31" t="str"/>
      <x:c r="D13" s="31" t="str"/>
      <x:c r="E13" s="31" t="str"/>
      <x:c r="F13" s="31" t="str"/>
      <x:c r="G13" s="31" t="str"/>
      <x:c r="H13" s="31" t="str"/>
    </x:row>
    <x:row r="14">
      <x:c r="A14" s="31" t="str">
        <x:v>Cheapest model-only break-even</x:v>
      </x:c>
      <x:c r="B14" s="31" t="str">
        <x:v>Gemini needs ≈43.0% success vs measured 10.3%</x:v>
      </x:c>
      <x:c r="C14" s="31" t="str"/>
      <x:c r="D14" s="31" t="str"/>
      <x:c r="E14" s="31" t="str"/>
      <x:c r="F14" s="31" t="str"/>
      <x:c r="G14" s="31" t="str"/>
      <x:c r="H14" s="31" t="str"/>
    </x:row>
  </x:sheetData>
  <x:mergeCells>
    <x:mergeCell ref="A1:H1"/>
    <x:mergeCell ref="A10:H10"/>
    <x:mergeCell ref="B11:H11"/>
    <x:mergeCell ref="B12:H12"/>
    <x:mergeCell ref="B13:H13"/>
    <x:mergeCell ref="B14:H14"/>
  </x:mergeCells>
  <x:pageMargins left="0.7" right="0.7" top="0.75" bottom="0.75" header="0.3" footer="0.3"/>
  <x:drawing xmlns:r="http://schemas.openxmlformats.org/officeDocument/2006/relationships" r:id="R3f3ac4fff56f449b"/>
</x:worksheet>
</file>