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b7b354eea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0c53b9adadb74585"/>
    <x:sheet xmlns:r="http://schemas.openxmlformats.org/officeDocument/2006/relationships" name="Live Metrics" sheetId="2" r:id="R3f890ddc5be0446d"/>
    <x:sheet xmlns:r="http://schemas.openxmlformats.org/officeDocument/2006/relationships" name="Cost Ledger" sheetId="3" r:id="Rc078f56b16d940b2"/>
    <x:sheet xmlns:r="http://schemas.openxmlformats.org/officeDocument/2006/relationships" name="Summary" sheetId="4" r:id="R0c4cdc72661741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;[Red]($#,##0.00);-"/>
    <x:numFmt numFmtId="201" formatCode="0.0"/>
    <x:numFmt numFmtId="202" formatCode="#,##0"/>
    <x:numFmt numFmtId="203" formatCode="0.0%"/>
    <x:numFmt numFmtId="204" formatCode="$#,##0.0000;[Red]($#,##0.0000);-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00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4" fontId="3" fillId="0" borderId="0" xfId="0" applyNumberFormat="1" applyFont="1" applyFill="1" applyBorder="1"/>
    <x:xf numFmtId="204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3" fontId="3" fillId="0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204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3" fontId="3" fillId="0" borderId="1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204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3" fontId="4" fillId="0" borderId="0" xfId="0" applyNumberFormat="1" applyFont="1" applyFill="1" applyBorder="1"/>
    <x:xf numFmtId="203" fontId="5" fillId="0" borderId="0" xfId="0" applyNumberFormat="1" applyFont="1" applyFill="1" applyBorder="1"/>
    <x:xf numFmtId="203" fontId="4" fillId="0" borderId="1" xfId="0" applyNumberFormat="1" applyFont="1" applyFill="1" applyBorder="1"/>
    <x:xf numFmtId="203" fontId="5" fillId="0" borderId="1" xfId="0" applyNumberFormat="1" applyFont="1" applyFill="1" applyBorder="1"/>
    <x:xf numFmtId="200" fontId="4" fillId="0" borderId="0" xfId="0" applyNumberFormat="1" applyFont="1" applyFill="1" applyBorder="1"/>
    <x:xf numFmtId="200" fontId="5" fillId="0" borderId="0" xfId="0" applyNumberFormat="1" applyFont="1" applyFill="1" applyBorder="1"/>
    <x:xf numFmtId="200" fontId="4" fillId="0" borderId="1" xfId="0" applyNumberFormat="1" applyFont="1" applyFill="1" applyBorder="1"/>
    <x:xf numFmtId="200" fontId="5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202" fontId="4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2b9d115c2417a" /><Relationship Type="http://schemas.openxmlformats.org/officeDocument/2006/relationships/theme" Target="/xl/theme/theme1.xml" Id="R6c7cda8b4d0a4b6e" /><Relationship Type="http://schemas.openxmlformats.org/officeDocument/2006/relationships/sharedStrings" Target="/xl/sharedStrings.xml" Id="Rd6276d8da31243d5" /><Relationship Type="http://schemas.openxmlformats.org/officeDocument/2006/relationships/worksheet" Target="/xl/worksheets/sheet1.xml" Id="R0c53b9adadb74585" /><Relationship Type="http://schemas.openxmlformats.org/officeDocument/2006/relationships/worksheet" Target="/xl/worksheets/sheet2.xml" Id="R3f890ddc5be0446d" /><Relationship Type="http://schemas.openxmlformats.org/officeDocument/2006/relationships/worksheet" Target="/xl/worksheets/sheet3.xml" Id="Rc078f56b16d940b2" /><Relationship Type="http://schemas.openxmlformats.org/officeDocument/2006/relationships/worksheet" Target="/xl/worksheets/sheet4.xml" Id="R0c4cdc72661741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f8ae7510e442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Cost: AI-assisted vs Manual-only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AI-assisted monthly cost</c:v>
          </c:tx>
          <c:cat>
            <c:strRef>
              <c:f>'Summary'!$L$4:$L$8</c:f>
              <c:strCache>
                <c:ptCount val="0"/>
              </c:strCache>
            </c:strRef>
          </c:cat>
          <c:val>
            <c:numRef>
              <c:f>'Summary'!$M$4:$M$8</c:f>
              <c:numCache>
                <c:formatCode>$#,##0.00;[Red]($#,##0.00);-</c:formatCode>
                <c:ptCount val="0"/>
              </c:numCache>
            </c:numRef>
          </c:val>
        </c:ser>
        <c:ser>
          <c:idx val="1"/>
          <c:order val="1"/>
          <c:tx>
            <c:v>Manual-only baseline</c:v>
          </c:tx>
          <c:cat>
            <c:strRef>
              <c:f>'Summary'!$L$4:$L$8</c:f>
              <c:strCache>
                <c:ptCount val="0"/>
              </c:strCache>
            </c:strRef>
          </c:cat>
          <c:val>
            <c:numRef>
              <c:f>'Summary'!$N$4:$N$8</c:f>
              <c:numCache>
                <c:formatCode>$#,##0.00;[Red]($#,##0.00);-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9</xdr:row>
      <xdr:rowOff>0</xdr:rowOff>
    </xdr:from>
    <xdr:to>
      <xdr:col>20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f8ae7510e442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7894913baa84a9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" hidden="0" customWidth="1"/>
    <x:col min="3" max="3" width="14.880000114440918" hidden="0" customWidth="1"/>
    <x:col min="4" max="4" width="48" hidden="0" customWidth="1"/>
  </x:cols>
  <x:sheetData>
    <x:row r="1">
      <x:c r="A1" s="26" t="str">
        <x:v>PE6201 A2 — D6 Cost Model Assumptions</x:v>
      </x:c>
      <x:c r="B1" s="26"/>
      <x:c r="C1" s="26"/>
      <x:c r="D1" s="26"/>
    </x:row>
    <x:row r="2">
      <x:c r="A2" s="27"/>
      <x:c r="B2" s="27"/>
      <x:c r="C2" s="27"/>
      <x:c r="D2" s="27"/>
    </x:row>
    <x:row r="3">
      <x:c r="A3" s="28" t="str">
        <x:v>Input / calculation</x:v>
      </x:c>
      <x:c r="B3" s="28" t="str">
        <x:v>Value</x:v>
      </x:c>
      <x:c r="C3" s="28" t="str">
        <x:v>Unit</x:v>
      </x:c>
      <x:c r="D3" s="28" t="str">
        <x:v>Basis / source</x:v>
      </x:c>
    </x:row>
    <x:row r="4">
      <x:c r="A4" s="27" t="str">
        <x:v>Assumed human labour rate</x:v>
      </x:c>
      <x:c r="B4" s="29" t="n">
        <x:v>30</x:v>
      </x:c>
      <x:c r="C4" s="27" t="str">
        <x:v>US$/hour</x:v>
      </x:c>
      <x:c r="D4" s="27" t="str">
        <x:v>Scenario assumption; editable</x:v>
      </x:c>
    </x:row>
    <x:row r="5">
      <x:c r="A5" s="27" t="str">
        <x:v>Manual-only handling time</x:v>
      </x:c>
      <x:c r="B5" s="30" t="n">
        <x:v>10</x:v>
      </x:c>
      <x:c r="C5" s="27" t="str">
        <x:v>minutes/task</x:v>
      </x:c>
      <x:c r="D5" s="27" t="str">
        <x:v>Scenario assumption; editable</x:v>
      </x:c>
    </x:row>
    <x:row r="6">
      <x:c r="A6" s="27" t="str">
        <x:v>Fallback/rework handling time</x:v>
      </x:c>
      <x:c r="B6" s="30" t="n">
        <x:v>12</x:v>
      </x:c>
      <x:c r="C6" s="27" t="str">
        <x:v>minutes/failed task</x:v>
      </x:c>
      <x:c r="D6" s="27" t="str">
        <x:v>Scenario assumption; editable</x:v>
      </x:c>
    </x:row>
    <x:row r="7">
      <x:c r="A7" s="27" t="str">
        <x:v>Manual-only cost per task</x:v>
      </x:c>
      <x:c r="B7" s="31" t="n">
        <x:f>B4*B5/60</x:f>
        <x:v>5</x:v>
      </x:c>
      <x:c r="C7" s="27" t="str">
        <x:v>US$/task</x:v>
      </x:c>
      <x:c r="D7" s="27" t="str">
        <x:v>Formula: labour rate × minutes / 60</x:v>
      </x:c>
    </x:row>
    <x:row r="8">
      <x:c r="A8" s="27" t="str">
        <x:v>Fallback cost per failed task</x:v>
      </x:c>
      <x:c r="B8" s="31" t="n">
        <x:f>B4*B6/60</x:f>
        <x:v>6</x:v>
      </x:c>
      <x:c r="C8" s="27" t="str">
        <x:v>US$/failed task</x:v>
      </x:c>
      <x:c r="D8" s="27" t="str">
        <x:v>Formula: labour rate × minutes / 60</x:v>
      </x:c>
    </x:row>
    <x:row r="9">
      <x:c r="A9" s="27" t="str">
        <x:v>Monthly fixed AI/monitoring cost</x:v>
      </x:c>
      <x:c r="B9" s="29" t="n">
        <x:v>150</x:v>
      </x:c>
      <x:c r="C9" s="27" t="str">
        <x:v>US$/month</x:v>
      </x:c>
      <x:c r="D9" s="27" t="str">
        <x:v>Scenario assumption; editable</x:v>
      </x:c>
    </x:row>
    <x:row r="10">
      <x:c r="A10" s="27" t="str">
        <x:v>Monthly referral volume</x:v>
      </x:c>
      <x:c r="B10" s="32" t="n">
        <x:v>1000</x:v>
      </x:c>
      <x:c r="C10" s="27" t="str">
        <x:v>tasks/month</x:v>
      </x:c>
      <x:c r="D10" s="27" t="str">
        <x:v>Scenario assumption; editable</x:v>
      </x:c>
    </x:row>
    <x:row r="11">
      <x:c r="A11" s="27" t="str">
        <x:v>Manual-only monthly baseline</x:v>
      </x:c>
      <x:c r="B11" s="31" t="n">
        <x:f>B7*B10</x:f>
        <x:v>5000</x:v>
      </x:c>
      <x:c r="C11" s="27" t="str">
        <x:v>US$/month</x:v>
      </x:c>
      <x:c r="D11" s="27" t="str">
        <x:v>Formula: manual cost/task × monthly volume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8" hidden="0" customWidth="1"/>
    <x:col min="3" max="3" width="34" hidden="0" customWidth="1"/>
    <x:col min="4" max="4" width="4.5" hidden="0" customWidth="1"/>
    <x:col min="5" max="5" width="8.380000114440918" hidden="0" customWidth="1"/>
    <x:col min="6" max="6" width="9.75" hidden="0" customWidth="1"/>
    <x:col min="7" max="7" width="10.130000114440918" hidden="0" customWidth="1"/>
    <x:col min="8" max="8" width="10.130000114440918" hidden="0" customWidth="1"/>
    <x:col min="9" max="9" width="11.5" hidden="0" customWidth="1"/>
    <x:col min="10" max="10" width="8.630000114440918" hidden="0" customWidth="1"/>
    <x:col min="11" max="11" width="15.5" hidden="0" customWidth="1"/>
    <x:col min="12" max="12" width="9.25" hidden="0" customWidth="1"/>
    <x:col min="13" max="13" width="10.630000114440918" hidden="0" customWidth="1"/>
    <x:col min="14" max="14" width="14.630000114440918" hidden="0" customWidth="1"/>
    <x:col min="15" max="15" width="21.25" hidden="0" customWidth="1"/>
    <x:col min="16" max="16" width="15.130000114440918" hidden="0" customWidth="1"/>
    <x:col min="17" max="17" width="17.3799991607666" hidden="0" customWidth="1"/>
    <x:col min="18" max="18" width="42" hidden="0" customWidth="1"/>
    <x:col min="19" max="19" width="6.25" hidden="0" customWidth="1"/>
    <x:col min="20" max="20" width="8.5" hidden="0" customWidth="1"/>
    <x:col min="21" max="21" width="38" hidden="0" customWidth="1"/>
    <x:col min="22" max="22" width="9.130000114440918" hidden="0" customWidth="1"/>
  </x:cols>
  <x:sheetData>
    <x:row r="1">
      <x:c r="A1" s="26" t="str">
        <x:v>Five compatible final descriptor-v2 live batteries — measured inputs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</x:row>
    <x:row r="3">
      <x:c r="A3" s="28" t="str">
        <x:v>Model label</x:v>
      </x:c>
      <x:c r="B3" s="28" t="str">
        <x:v>Model ID</x:v>
      </x:c>
      <x:c r="C3" s="28" t="str">
        <x:v>Source file</x:v>
      </x:c>
      <x:c r="D3" s="28" t="str">
        <x:v>Trials</x:v>
      </x:c>
      <x:c r="E3" s="28" t="str">
        <x:v>Successful</x:v>
      </x:c>
      <x:c r="F3" s="28" t="str">
        <x:v>Success rate</x:v>
      </x:c>
      <x:c r="G3" s="28" t="str">
        <x:v>Fallback rate</x:v>
      </x:c>
      <x:c r="H3" s="28" t="str">
        <x:v>Input tokens</x:v>
      </x:c>
      <x:c r="I3" s="28" t="str">
        <x:v>Output tokens</x:v>
      </x:c>
      <x:c r="J3" s="28" t="str">
        <x:v>Error trials</x:v>
      </x:c>
      <x:c r="K3" s="28" t="str">
        <x:v>Judgement pending</x:v>
      </x:c>
      <x:c r="L3" s="28" t="str">
        <x:v>Input $/1M</x:v>
      </x:c>
      <x:c r="M3" s="28" t="str">
        <x:v>Output $/1M</x:v>
      </x:c>
      <x:c r="N3" s="28" t="str">
        <x:v>Harness cost (US$)</x:v>
      </x:c>
      <x:c r="O3" s="28" t="str">
        <x:v>Exact price-book cost (US$)</x:v>
      </x:c>
      <x:c r="P3" s="28" t="str">
        <x:v>Provider cost (US$)</x:v>
      </x:c>
      <x:c r="Q3" s="28" t="str">
        <x:v>Provider − exact (US$)</x:v>
      </x:c>
      <x:c r="R3" s="28" t="str">
        <x:v>Freeze SHA</x:v>
      </x:c>
      <x:c r="S3" s="28" t="str">
        <x:v>Prompt</x:v>
      </x:c>
      <x:c r="T3" s="28" t="str">
        <x:v>Descriptor</x:v>
      </x:c>
      <x:c r="U3" s="28" t="str">
        <x:v>Price source</x:v>
      </x:c>
      <x:c r="V3" s="28" t="str">
        <x:v>Price date</x:v>
      </x:c>
    </x:row>
    <x:row r="4">
      <x:c r="A4" s="52" t="str">
        <x:v>OpenAI GPT-5.4</x:v>
      </x:c>
      <x:c r="B4" s="52" t="str">
        <x:v>openai/gpt-5.4</x:v>
      </x:c>
      <x:c r="C4" s="52" t="str">
        <x:v>results.json</x:v>
      </x:c>
      <x:c r="D4" s="52" t="n">
        <x:v>58</x:v>
      </x:c>
      <x:c r="E4" s="52" t="n">
        <x:v>25</x:v>
      </x:c>
      <x:c r="F4" s="53" t="n">
        <x:v>0.43103448275862066</x:v>
      </x:c>
      <x:c r="G4" s="53" t="n">
        <x:v>0.5689655172413793</x:v>
      </x:c>
      <x:c r="H4" s="54" t="n">
        <x:v>287085</x:v>
      </x:c>
      <x:c r="I4" s="54" t="n">
        <x:v>10898</x:v>
      </x:c>
      <x:c r="J4" s="54" t="n">
        <x:v>22</x:v>
      </x:c>
      <x:c r="K4" s="54" t="n">
        <x:v>3</x:v>
      </x:c>
      <x:c r="L4" s="55" t="n">
        <x:v>2.5</x:v>
      </x:c>
      <x:c r="M4" s="55" t="n">
        <x:v>15</x:v>
      </x:c>
      <x:c r="N4" s="55" t="n">
        <x:v>0.881178</x:v>
      </x:c>
      <x:c r="O4" s="55" t="n">
        <x:v>0.8811825</x:v>
      </x:c>
      <x:c r="P4" s="55" t="n">
        <x:v>0.8811825</x:v>
      </x:c>
      <x:c r="Q4" s="55" t="n">
        <x:v>0</x:v>
      </x:c>
      <x:c r="R4" s="52" t="str">
        <x:v>e36bb1b2fcad625ed944e7df863165d95c0ef53f</x:v>
      </x:c>
      <x:c r="S4" s="52" t="str">
        <x:v>v2</x:v>
      </x:c>
      <x:c r="T4" s="52" t="str">
        <x:v>v2</x:v>
      </x:c>
      <x:c r="U4" s="52" t="str">
        <x:v>https://openrouter.ai/openai/gpt-5.4</x:v>
      </x:c>
      <x:c r="V4" s="52" t="str">
        <x:v>2026-09-15</x:v>
      </x:c>
    </x:row>
    <x:row r="5">
      <x:c r="A5" s="52" t="str">
        <x:v>Moonshot Kimi K2.6</x:v>
      </x:c>
      <x:c r="B5" s="52" t="str">
        <x:v>moonshotai/kimi-k2.6</x:v>
      </x:c>
      <x:c r="C5" s="52" t="str">
        <x:v>yang_ruijia_moonshotai_kimi-k2.6_v2.json</x:v>
      </x:c>
      <x:c r="D5" s="52" t="n">
        <x:v>58</x:v>
      </x:c>
      <x:c r="E5" s="52" t="n">
        <x:v>15</x:v>
      </x:c>
      <x:c r="F5" s="53" t="n">
        <x:v>0.25862068965517243</x:v>
      </x:c>
      <x:c r="G5" s="53" t="n">
        <x:v>0.7413793103448276</x:v>
      </x:c>
      <x:c r="H5" s="54" t="n">
        <x:v>263325</x:v>
      </x:c>
      <x:c r="I5" s="54" t="n">
        <x:v>52112</x:v>
      </x:c>
      <x:c r="J5" s="54" t="n">
        <x:v>31</x:v>
      </x:c>
      <x:c r="K5" s="54" t="n">
        <x:v>3</x:v>
      </x:c>
      <x:c r="L5" s="55" t="n">
        <x:v>0.58</x:v>
      </x:c>
      <x:c r="M5" s="55" t="n">
        <x:v>3.4</x:v>
      </x:c>
      <x:c r="N5" s="55" t="n">
        <x:v>0.32990800000000015</x:v>
      </x:c>
      <x:c r="O5" s="55" t="n">
        <x:v>0.32990929999999996</x:v>
      </x:c>
      <x:c r="P5" s="55" t="n">
        <x:v>0.24100017000000004</x:v>
      </x:c>
      <x:c r="Q5" s="55" t="n">
        <x:v>-0.08890912999999992</x:v>
      </x:c>
      <x:c r="R5" s="52" t="str">
        <x:v>e36bb1b2fcad625ed944e7df863165d95c0ef53f</x:v>
      </x:c>
      <x:c r="S5" s="52" t="str">
        <x:v>v2</x:v>
      </x:c>
      <x:c r="T5" s="52" t="str">
        <x:v>v2</x:v>
      </x:c>
      <x:c r="U5" s="52" t="str">
        <x:v>https://openrouter.ai/moonshotai/kimi-k2.6</x:v>
      </x:c>
      <x:c r="V5" s="52" t="str">
        <x:v>2026-09-16</x:v>
      </x:c>
    </x:row>
    <x:row r="6">
      <x:c r="A6" s="52" t="str">
        <x:v>Anthropic Claude Sonnet 4.6</x:v>
      </x:c>
      <x:c r="B6" s="52" t="str">
        <x:v>anthropic/claude-sonnet-4.6</x:v>
      </x:c>
      <x:c r="C6" s="52" t="str">
        <x:v>hao_qi_anthropic_claude-sonnet-4.6_v2.json</x:v>
      </x:c>
      <x:c r="D6" s="52" t="n">
        <x:v>58</x:v>
      </x:c>
      <x:c r="E6" s="52" t="n">
        <x:v>10</x:v>
      </x:c>
      <x:c r="F6" s="53" t="n">
        <x:v>0.1724137931034483</x:v>
      </x:c>
      <x:c r="G6" s="53" t="n">
        <x:v>0.8275862068965517</x:v>
      </x:c>
      <x:c r="H6" s="54" t="n">
        <x:v>233897</x:v>
      </x:c>
      <x:c r="I6" s="54" t="n">
        <x:v>13221</x:v>
      </x:c>
      <x:c r="J6" s="54" t="n">
        <x:v>48</x:v>
      </x:c>
      <x:c r="K6" s="54" t="n">
        <x:v>3</x:v>
      </x:c>
      <x:c r="L6" s="55" t="n">
        <x:v>3</x:v>
      </x:c>
      <x:c r="M6" s="55" t="n">
        <x:v>15</x:v>
      </x:c>
      <x:c r="N6" s="55" t="n">
        <x:v>0.900006</x:v>
      </x:c>
      <x:c r="O6" s="55" t="n">
        <x:v>0.900006</x:v>
      </x:c>
      <x:c r="P6" s="55" t="n">
        <x:v>0.900006</x:v>
      </x:c>
      <x:c r="Q6" s="55" t="n">
        <x:v>0</x:v>
      </x:c>
      <x:c r="R6" s="52" t="str">
        <x:v>e36bb1b2fcad625ed944e7df863165d95c0ef53f</x:v>
      </x:c>
      <x:c r="S6" s="52" t="str">
        <x:v>v2</x:v>
      </x:c>
      <x:c r="T6" s="52" t="str">
        <x:v>v2</x:v>
      </x:c>
      <x:c r="U6" s="52" t="str">
        <x:v>https://openrouter.ai/anthropic/claude-sonnet-4.6/pricing</x:v>
      </x:c>
      <x:c r="V6" s="52" t="str">
        <x:v>2026-09-16</x:v>
      </x:c>
    </x:row>
    <x:row r="7">
      <x:c r="A7" s="52" t="str">
        <x:v>DeepSeek V4 Pro</x:v>
      </x:c>
      <x:c r="B7" s="52" t="str">
        <x:v>deepseek/deepseek-v4-pro</x:v>
      </x:c>
      <x:c r="C7" s="52" t="str">
        <x:v>live_deepseek_v4_v2_liuxuanlin.json</x:v>
      </x:c>
      <x:c r="D7" s="52" t="n">
        <x:v>58</x:v>
      </x:c>
      <x:c r="E7" s="52" t="n">
        <x:v>4</x:v>
      </x:c>
      <x:c r="F7" s="53" t="n">
        <x:v>0.06896551724137931</x:v>
      </x:c>
      <x:c r="G7" s="53" t="n">
        <x:v>0.9310344827586207</x:v>
      </x:c>
      <x:c r="H7" s="54" t="n">
        <x:v>196625</x:v>
      </x:c>
      <x:c r="I7" s="54" t="n">
        <x:v>24437</x:v>
      </x:c>
      <x:c r="J7" s="54" t="n">
        <x:v>50</x:v>
      </x:c>
      <x:c r="K7" s="54" t="n">
        <x:v>3</x:v>
      </x:c>
      <x:c r="L7" s="55" t="n">
        <x:v>0.87</x:v>
      </x:c>
      <x:c r="M7" s="55" t="n">
        <x:v>1.74</x:v>
      </x:c>
      <x:c r="N7" s="55" t="n">
        <x:v>0.213584</x:v>
      </x:c>
      <x:c r="O7" s="55" t="n">
        <x:v>0.21358412999999998</x:v>
      </x:c>
      <x:c r="P7" s="55" t="n">
        <x:v>0.17864116</x:v>
      </x:c>
      <x:c r="Q7" s="55" t="n">
        <x:v>-0.03494296999999999</x:v>
      </x:c>
      <x:c r="R7" s="52" t="str">
        <x:v>e36bb1b2fcad625ed944e7df863165d95c0ef53f</x:v>
      </x:c>
      <x:c r="S7" s="52" t="str">
        <x:v>v2</x:v>
      </x:c>
      <x:c r="T7" s="52" t="str">
        <x:v>v2</x:v>
      </x:c>
      <x:c r="U7" s="52" t="str">
        <x:v>https://openrouter.ai/deepseek/deepseek-v4-pro/api</x:v>
      </x:c>
      <x:c r="V7" s="52" t="str">
        <x:v>2026-09-17</x:v>
      </x:c>
    </x:row>
    <x:row r="8">
      <x:c r="A8" s="52" t="str">
        <x:v>Google Gemini 3.7 Flash</x:v>
      </x:c>
      <x:c r="B8" s="52" t="str">
        <x:v>google/gemini-3.7-flash</x:v>
      </x:c>
      <x:c r="C8" s="52" t="str">
        <x:v>wang_chenyu_google_gemini-3.7-flash_v2.json</x:v>
      </x:c>
      <x:c r="D8" s="52" t="n">
        <x:v>58</x:v>
      </x:c>
      <x:c r="E8" s="52" t="n">
        <x:v>6</x:v>
      </x:c>
      <x:c r="F8" s="53" t="n">
        <x:v>0.10344827586206896</x:v>
      </x:c>
      <x:c r="G8" s="53" t="n">
        <x:v>0.896551724137931</x:v>
      </x:c>
      <x:c r="H8" s="54" t="n">
        <x:v>132992</x:v>
      </x:c>
      <x:c r="I8" s="54" t="n">
        <x:v>17498</x:v>
      </x:c>
      <x:c r="J8" s="54" t="n">
        <x:v>49</x:v>
      </x:c>
      <x:c r="K8" s="54" t="n">
        <x:v>3</x:v>
      </x:c>
      <x:c r="L8" s="55" t="n">
        <x:v>0.75</x:v>
      </x:c>
      <x:c r="M8" s="55" t="n">
        <x:v>3.75</x:v>
      </x:c>
      <x:c r="N8" s="55" t="n">
        <x:v>0.165363</x:v>
      </x:c>
      <x:c r="O8" s="55" t="n">
        <x:v>0.1653615</x:v>
      </x:c>
      <x:c r="P8" s="55" t="n">
        <x:v>0.1653615</x:v>
      </x:c>
      <x:c r="Q8" s="55" t="n">
        <x:v>0</x:v>
      </x:c>
      <x:c r="R8" s="52" t="str">
        <x:v>e36bb1b2fcad625ed944e7df863165d95c0ef53f</x:v>
      </x:c>
      <x:c r="S8" s="52" t="str">
        <x:v>v2</x:v>
      </x:c>
      <x:c r="T8" s="52" t="str">
        <x:v>v2</x:v>
      </x:c>
      <x:c r="U8" s="52" t="str">
        <x:v>https://openrouter.ai/google/gemini-3.7-flash</x:v>
      </x:c>
      <x:c r="V8" s="52" t="str">
        <x:v>2026-09-17</x:v>
      </x:c>
    </x:row>
  </x:sheetData>
  <x:mergeCells>
    <x:mergeCell ref="A1:V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  <x:col min="3" max="3" width="4.5" hidden="0" customWidth="1"/>
    <x:col min="4" max="4" width="9.75" hidden="0" customWidth="1"/>
    <x:col min="5" max="5" width="10.130000114440918" hidden="0" customWidth="1"/>
    <x:col min="6" max="6" width="17.5" hidden="0" customWidth="1"/>
    <x:col min="7" max="7" width="17.5" hidden="0" customWidth="1"/>
    <x:col min="8" max="8" width="18.75" hidden="0" customWidth="1"/>
    <x:col min="9" max="9" width="19.8799991607666" hidden="0" customWidth="1"/>
    <x:col min="10" max="10" width="12.380000114440918" hidden="0" customWidth="1"/>
    <x:col min="11" max="11" width="20.3799991607666" hidden="0" customWidth="1"/>
    <x:col min="12" max="12" width="15.130000114440918" hidden="0" customWidth="1"/>
    <x:col min="13" max="13" width="18.6299991607666" hidden="0" customWidth="1"/>
    <x:col min="14" max="14" width="18.3799991607666" hidden="0" customWidth="1"/>
    <x:col min="15" max="15" width="38" hidden="0" customWidth="1"/>
    <x:col min="16" max="16" width="9.130000114440918" hidden="0" customWidth="1"/>
    <x:col min="17" max="17" width="48" hidden="0" customWidth="1"/>
  </x:cols>
  <x:sheetData>
    <x:row r="1">
      <x:c r="A1" s="26" t="str">
        <x:v>D6 reproducible cost ledger and ±10 percentage-point success sensitivity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</x:row>
    <x:row r="3">
      <x:c r="A3" s="28" t="str">
        <x:v>Model ID</x:v>
      </x:c>
      <x:c r="B3" s="28" t="str">
        <x:v>Scenario</x:v>
      </x:c>
      <x:c r="C3" s="28" t="str">
        <x:v>Trials</x:v>
      </x:c>
      <x:c r="D3" s="28" t="str">
        <x:v>Success rate</x:v>
      </x:c>
      <x:c r="E3" s="28" t="str">
        <x:v>Fallback rate</x:v>
      </x:c>
      <x:c r="F3" s="28" t="str">
        <x:v>Model cost total (US$)</x:v>
      </x:c>
      <x:c r="G3" s="28" t="str">
        <x:v>Model cost/task (US$)</x:v>
      </x:c>
      <x:c r="H3" s="28" t="str">
        <x:v>Fallback cost total (US$)</x:v>
      </x:c>
      <x:c r="I3" s="28" t="str">
        <x:v>Allocated fixed cost (US$)</x:v>
      </x:c>
      <x:c r="J3" s="28" t="str">
        <x:v>Total cost (US$)</x:v>
      </x:c>
      <x:c r="K3" s="28" t="str">
        <x:v>Cost/successful task (US$)</x:v>
      </x:c>
      <x:c r="L3" s="28" t="str">
        <x:v>Monthly cost (US$)</x:v>
      </x:c>
      <x:c r="M3" s="28" t="str">
        <x:v>Break-even success rate</x:v>
      </x:c>
      <x:c r="N3" s="28" t="str">
        <x:v>Manual cost/task (US$)</x:v>
      </x:c>
      <x:c r="O3" s="28" t="str">
        <x:v>Price source</x:v>
      </x:c>
      <x:c r="P3" s="28" t="str">
        <x:v>Price date</x:v>
      </x:c>
      <x:c r="Q3" s="28" t="str">
        <x:v>Notes</x:v>
      </x:c>
    </x:row>
    <x:row r="4">
      <x:c r="A4" s="27" t="str">
        <x:v>openai/gpt-5.4</x:v>
      </x:c>
      <x:c r="B4" s="27" t="str">
        <x:v>base</x:v>
      </x:c>
      <x:c r="C4" s="72" t="n">
        <x:f>'Live Metrics'!D4</x:f>
        <x:v>58</x:v>
      </x:c>
      <x:c r="D4" s="73" t="n">
        <x:f>'Live Metrics'!F4</x:f>
        <x:v>0.43103448275862066</x:v>
      </x:c>
      <x:c r="E4" s="74" t="n">
        <x:f>1-D4</x:f>
        <x:v>0.5689655172413793</x:v>
      </x:c>
      <x:c r="F4" s="75" t="n">
        <x:f>'Live Metrics'!O4</x:f>
        <x:v>0.8811825</x:v>
      </x:c>
      <x:c r="G4" s="76" t="n">
        <x:f>F4/C4</x:f>
        <x:v>0.01519280172413793</x:v>
      </x:c>
      <x:c r="H4" s="76" t="n">
        <x:f>C4*E4*Assumptions!B8</x:f>
        <x:v>198</x:v>
      </x:c>
      <x:c r="I4" s="76" t="n">
        <x:f>Assumptions!B9*(C4/Assumptions!B10)</x:f>
        <x:v>8.700000000000001</x:v>
      </x:c>
      <x:c r="J4" s="76" t="n">
        <x:f>F4+H4+I4</x:f>
        <x:v>207.58118249999998</x:v>
      </x:c>
      <x:c r="K4" s="76" t="n">
        <x:f>IF(C4*D4&gt;0,J4/(C4*D4),"")</x:f>
        <x:v>8.303247299999999</x:v>
      </x:c>
      <x:c r="L4" s="76" t="n">
        <x:f>G4*Assumptions!B10+E4*Assumptions!B8*Assumptions!B10+Assumptions!B9</x:f>
        <x:v>3578.985905172414</x:v>
      </x:c>
      <x:c r="M4" s="74" t="n">
        <x:f>MAX(0,MIN(1,1-(Assumptions!B7-G4-Assumptions!B9/Assumptions!B10)/Assumptions!B8))</x:f>
        <x:v>0.19419880028735637</x:v>
      </x:c>
      <x:c r="N4" s="76" t="n">
        <x:f>Assumptions!B7</x:f>
        <x:v>5</x:v>
      </x:c>
      <x:c r="O4" s="27" t="str">
        <x:v>https://openrouter.ai/openai/gpt-5.4</x:v>
      </x:c>
      <x:c r="P4" s="27" t="str">
        <x:v>2026-09-15</x:v>
      </x:c>
      <x:c r="Q4" s="27" t="str">
        <x:v>Exact price-book cost from measured API-reported tokens and run prices; provider-reported cost retained in audit.</x:v>
      </x:c>
    </x:row>
    <x:row r="5">
      <x:c r="A5" s="27" t="str">
        <x:v>openai/gpt-5.4</x:v>
      </x:c>
      <x:c r="B5" s="27" t="str">
        <x:v>success_minus_10pp</x:v>
      </x:c>
      <x:c r="C5" s="72" t="n">
        <x:f>'Live Metrics'!D4</x:f>
        <x:v>58</x:v>
      </x:c>
      <x:c r="D5" s="73" t="n">
        <x:f>MAX(0,'Live Metrics'!F4-0.10)</x:f>
        <x:v>0.3310344827586207</x:v>
      </x:c>
      <x:c r="E5" s="74" t="n">
        <x:f>1-D5</x:f>
        <x:v>0.6689655172413793</x:v>
      </x:c>
      <x:c r="F5" s="75" t="n">
        <x:f>'Live Metrics'!O4</x:f>
        <x:v>0.8811825</x:v>
      </x:c>
      <x:c r="G5" s="76" t="n">
        <x:f>F5/C5</x:f>
        <x:v>0.01519280172413793</x:v>
      </x:c>
      <x:c r="H5" s="76" t="n">
        <x:f>C5*E5*Assumptions!B8</x:f>
        <x:v>232.79999999999998</x:v>
      </x:c>
      <x:c r="I5" s="76" t="n">
        <x:f>Assumptions!B9*(C5/Assumptions!B10)</x:f>
        <x:v>8.700000000000001</x:v>
      </x:c>
      <x:c r="J5" s="76" t="n">
        <x:f>F5+H5+I5</x:f>
        <x:v>242.38118249999997</x:v>
      </x:c>
      <x:c r="K5" s="76" t="n">
        <x:f>IF(C5*D5&gt;0,J5/(C5*D5),"")</x:f>
        <x:v>12.624019921874998</x:v>
      </x:c>
      <x:c r="L5" s="76" t="n">
        <x:f>G5*Assumptions!B10+E5*Assumptions!B8*Assumptions!B10+Assumptions!B9</x:f>
        <x:v>4178.985905172413</x:v>
      </x:c>
      <x:c r="M5" s="74" t="n">
        <x:f>MAX(0,MIN(1,1-(Assumptions!B7-G5-Assumptions!B9/Assumptions!B10)/Assumptions!B8))</x:f>
        <x:v>0.19419880028735637</x:v>
      </x:c>
      <x:c r="N5" s="76" t="n">
        <x:f>Assumptions!B7</x:f>
        <x:v>5</x:v>
      </x:c>
      <x:c r="O5" s="27" t="str">
        <x:v>https://openrouter.ai/openai/gpt-5.4</x:v>
      </x:c>
      <x:c r="P5" s="27" t="str">
        <x:v>2026-09-15</x:v>
      </x:c>
      <x:c r="Q5" s="27" t="str">
        <x:v>Exact price-book cost from measured API-reported tokens and run prices; provider-reported cost retained in audit.</x:v>
      </x:c>
    </x:row>
    <x:row r="6">
      <x:c r="A6" s="27" t="str">
        <x:v>openai/gpt-5.4</x:v>
      </x:c>
      <x:c r="B6" s="27" t="str">
        <x:v>success_plus_10pp</x:v>
      </x:c>
      <x:c r="C6" s="72" t="n">
        <x:f>'Live Metrics'!D4</x:f>
        <x:v>58</x:v>
      </x:c>
      <x:c r="D6" s="73" t="n">
        <x:f>MIN(1,'Live Metrics'!F4+0.10)</x:f>
        <x:v>0.5310344827586206</x:v>
      </x:c>
      <x:c r="E6" s="74" t="n">
        <x:f>1-D6</x:f>
        <x:v>0.46896551724137936</x:v>
      </x:c>
      <x:c r="F6" s="75" t="n">
        <x:f>'Live Metrics'!O4</x:f>
        <x:v>0.8811825</x:v>
      </x:c>
      <x:c r="G6" s="76" t="n">
        <x:f>F6/C6</x:f>
        <x:v>0.01519280172413793</x:v>
      </x:c>
      <x:c r="H6" s="76" t="n">
        <x:f>C6*E6*Assumptions!B8</x:f>
        <x:v>163.20000000000002</x:v>
      </x:c>
      <x:c r="I6" s="76" t="n">
        <x:f>Assumptions!B9*(C6/Assumptions!B10)</x:f>
        <x:v>8.700000000000001</x:v>
      </x:c>
      <x:c r="J6" s="76" t="n">
        <x:f>F6+H6+I6</x:f>
        <x:v>172.7811825</x:v>
      </x:c>
      <x:c r="K6" s="76" t="n">
        <x:f>IF(C6*D6&gt;0,J6/(C6*D6),"")</x:f>
        <x:v>5.609778652597403</x:v>
      </x:c>
      <x:c r="L6" s="76" t="n">
        <x:f>G6*Assumptions!B10+E6*Assumptions!B8*Assumptions!B10+Assumptions!B9</x:f>
        <x:v>2978.9859051724143</x:v>
      </x:c>
      <x:c r="M6" s="74" t="n">
        <x:f>MAX(0,MIN(1,1-(Assumptions!B7-G6-Assumptions!B9/Assumptions!B10)/Assumptions!B8))</x:f>
        <x:v>0.19419880028735637</x:v>
      </x:c>
      <x:c r="N6" s="76" t="n">
        <x:f>Assumptions!B7</x:f>
        <x:v>5</x:v>
      </x:c>
      <x:c r="O6" s="27" t="str">
        <x:v>https://openrouter.ai/openai/gpt-5.4</x:v>
      </x:c>
      <x:c r="P6" s="27" t="str">
        <x:v>2026-09-15</x:v>
      </x:c>
      <x:c r="Q6" s="27" t="str">
        <x:v>Exact price-book cost from measured API-reported tokens and run prices; provider-reported cost retained in audit.</x:v>
      </x:c>
    </x:row>
    <x:row r="7">
      <x:c r="A7" s="27" t="str">
        <x:v>moonshotai/kimi-k2.6</x:v>
      </x:c>
      <x:c r="B7" s="27" t="str">
        <x:v>base</x:v>
      </x:c>
      <x:c r="C7" s="72" t="n">
        <x:f>'Live Metrics'!D5</x:f>
        <x:v>58</x:v>
      </x:c>
      <x:c r="D7" s="73" t="n">
        <x:f>'Live Metrics'!F5</x:f>
        <x:v>0.25862068965517243</x:v>
      </x:c>
      <x:c r="E7" s="74" t="n">
        <x:f>1-D7</x:f>
        <x:v>0.7413793103448276</x:v>
      </x:c>
      <x:c r="F7" s="75" t="n">
        <x:f>'Live Metrics'!O5</x:f>
        <x:v>0.32990929999999996</x:v>
      </x:c>
      <x:c r="G7" s="76" t="n">
        <x:f>F7/C7</x:f>
        <x:v>0.005688091379310345</x:v>
      </x:c>
      <x:c r="H7" s="76" t="n">
        <x:f>C7*E7*Assumptions!B8</x:f>
        <x:v>258</x:v>
      </x:c>
      <x:c r="I7" s="76" t="n">
        <x:f>Assumptions!B9*(C7/Assumptions!B10)</x:f>
        <x:v>8.700000000000001</x:v>
      </x:c>
      <x:c r="J7" s="76" t="n">
        <x:f>F7+H7+I7</x:f>
        <x:v>267.0299093</x:v>
      </x:c>
      <x:c r="K7" s="76" t="n">
        <x:f>IF(C7*D7&gt;0,J7/(C7*D7),"")</x:f>
        <x:v>17.80199395333333</x:v>
      </x:c>
      <x:c r="L7" s="76" t="n">
        <x:f>G7*Assumptions!B10+E7*Assumptions!B8*Assumptions!B10+Assumptions!B9</x:f>
        <x:v>4603.963953448277</x:v>
      </x:c>
      <x:c r="M7" s="74" t="n">
        <x:f>MAX(0,MIN(1,1-(Assumptions!B7-G7-Assumptions!B9/Assumptions!B10)/Assumptions!B8))</x:f>
        <x:v>0.19261468189655184</x:v>
      </x:c>
      <x:c r="N7" s="76" t="n">
        <x:f>Assumptions!B7</x:f>
        <x:v>5</x:v>
      </x:c>
      <x:c r="O7" s="27" t="str">
        <x:v>https://openrouter.ai/moonshotai/kimi-k2.6</x:v>
      </x:c>
      <x:c r="P7" s="27" t="str">
        <x:v>2026-09-16</x:v>
      </x:c>
      <x:c r="Q7" s="27" t="str">
        <x:v>Exact price-book cost from measured API-reported tokens and run prices; provider-reported cost retained in audit.</x:v>
      </x:c>
    </x:row>
    <x:row r="8">
      <x:c r="A8" s="27" t="str">
        <x:v>moonshotai/kimi-k2.6</x:v>
      </x:c>
      <x:c r="B8" s="27" t="str">
        <x:v>success_minus_10pp</x:v>
      </x:c>
      <x:c r="C8" s="72" t="n">
        <x:f>'Live Metrics'!D5</x:f>
        <x:v>58</x:v>
      </x:c>
      <x:c r="D8" s="73" t="n">
        <x:f>MAX(0,'Live Metrics'!F5-0.10)</x:f>
        <x:v>0.15862068965517243</x:v>
      </x:c>
      <x:c r="E8" s="74" t="n">
        <x:f>1-D8</x:f>
        <x:v>0.8413793103448276</x:v>
      </x:c>
      <x:c r="F8" s="75" t="n">
        <x:f>'Live Metrics'!O5</x:f>
        <x:v>0.32990929999999996</x:v>
      </x:c>
      <x:c r="G8" s="76" t="n">
        <x:f>F8/C8</x:f>
        <x:v>0.005688091379310345</x:v>
      </x:c>
      <x:c r="H8" s="76" t="n">
        <x:f>C8*E8*Assumptions!B8</x:f>
        <x:v>292.8</x:v>
      </x:c>
      <x:c r="I8" s="76" t="n">
        <x:f>Assumptions!B9*(C8/Assumptions!B10)</x:f>
        <x:v>8.700000000000001</x:v>
      </x:c>
      <x:c r="J8" s="76" t="n">
        <x:f>F8+H8+I8</x:f>
        <x:v>301.8299093</x:v>
      </x:c>
      <x:c r="K8" s="76" t="n">
        <x:f>IF(C8*D8&gt;0,J8/(C8*D8),"")</x:f>
        <x:v>32.807598836956515</x:v>
      </x:c>
      <x:c r="L8" s="76" t="n">
        <x:f>G8*Assumptions!B10+E8*Assumptions!B8*Assumptions!B10+Assumptions!B9</x:f>
        <x:v>5203.963953448276</x:v>
      </x:c>
      <x:c r="M8" s="74" t="n">
        <x:f>MAX(0,MIN(1,1-(Assumptions!B7-G8-Assumptions!B9/Assumptions!B10)/Assumptions!B8))</x:f>
        <x:v>0.19261468189655184</x:v>
      </x:c>
      <x:c r="N8" s="76" t="n">
        <x:f>Assumptions!B7</x:f>
        <x:v>5</x:v>
      </x:c>
      <x:c r="O8" s="27" t="str">
        <x:v>https://openrouter.ai/moonshotai/kimi-k2.6</x:v>
      </x:c>
      <x:c r="P8" s="27" t="str">
        <x:v>2026-09-16</x:v>
      </x:c>
      <x:c r="Q8" s="27" t="str">
        <x:v>Exact price-book cost from measured API-reported tokens and run prices; provider-reported cost retained in audit.</x:v>
      </x:c>
    </x:row>
    <x:row r="9">
      <x:c r="A9" s="27" t="str">
        <x:v>moonshotai/kimi-k2.6</x:v>
      </x:c>
      <x:c r="B9" s="27" t="str">
        <x:v>success_plus_10pp</x:v>
      </x:c>
      <x:c r="C9" s="72" t="n">
        <x:f>'Live Metrics'!D5</x:f>
        <x:v>58</x:v>
      </x:c>
      <x:c r="D9" s="73" t="n">
        <x:f>MIN(1,'Live Metrics'!F5+0.10)</x:f>
        <x:v>0.35862068965517246</x:v>
      </x:c>
      <x:c r="E9" s="74" t="n">
        <x:f>1-D9</x:f>
        <x:v>0.6413793103448275</x:v>
      </x:c>
      <x:c r="F9" s="75" t="n">
        <x:f>'Live Metrics'!O5</x:f>
        <x:v>0.32990929999999996</x:v>
      </x:c>
      <x:c r="G9" s="76" t="n">
        <x:f>F9/C9</x:f>
        <x:v>0.005688091379310345</x:v>
      </x:c>
      <x:c r="H9" s="76" t="n">
        <x:f>C9*E9*Assumptions!B8</x:f>
        <x:v>223.2</x:v>
      </x:c>
      <x:c r="I9" s="76" t="n">
        <x:f>Assumptions!B9*(C9/Assumptions!B10)</x:f>
        <x:v>8.700000000000001</x:v>
      </x:c>
      <x:c r="J9" s="76" t="n">
        <x:f>F9+H9+I9</x:f>
        <x:v>232.22990929999997</x:v>
      </x:c>
      <x:c r="K9" s="76" t="n">
        <x:f>IF(C9*D9&gt;0,J9/(C9*D9),"")</x:f>
        <x:v>11.16489948557692</x:v>
      </x:c>
      <x:c r="L9" s="76" t="n">
        <x:f>G9*Assumptions!B10+E9*Assumptions!B8*Assumptions!B10+Assumptions!B9</x:f>
        <x:v>4003.9639534482753</x:v>
      </x:c>
      <x:c r="M9" s="74" t="n">
        <x:f>MAX(0,MIN(1,1-(Assumptions!B7-G9-Assumptions!B9/Assumptions!B10)/Assumptions!B8))</x:f>
        <x:v>0.19261468189655184</x:v>
      </x:c>
      <x:c r="N9" s="76" t="n">
        <x:f>Assumptions!B7</x:f>
        <x:v>5</x:v>
      </x:c>
      <x:c r="O9" s="27" t="str">
        <x:v>https://openrouter.ai/moonshotai/kimi-k2.6</x:v>
      </x:c>
      <x:c r="P9" s="27" t="str">
        <x:v>2026-09-16</x:v>
      </x:c>
      <x:c r="Q9" s="27" t="str">
        <x:v>Exact price-book cost from measured API-reported tokens and run prices; provider-reported cost retained in audit.</x:v>
      </x:c>
    </x:row>
    <x:row r="10">
      <x:c r="A10" s="27" t="str">
        <x:v>anthropic/claude-sonnet-4.6</x:v>
      </x:c>
      <x:c r="B10" s="27" t="str">
        <x:v>base</x:v>
      </x:c>
      <x:c r="C10" s="72" t="n">
        <x:f>'Live Metrics'!D6</x:f>
        <x:v>58</x:v>
      </x:c>
      <x:c r="D10" s="73" t="n">
        <x:f>'Live Metrics'!F6</x:f>
        <x:v>0.1724137931034483</x:v>
      </x:c>
      <x:c r="E10" s="74" t="n">
        <x:f>1-D10</x:f>
        <x:v>0.8275862068965517</x:v>
      </x:c>
      <x:c r="F10" s="75" t="n">
        <x:f>'Live Metrics'!O6</x:f>
        <x:v>0.900006</x:v>
      </x:c>
      <x:c r="G10" s="76" t="n">
        <x:f>F10/C10</x:f>
        <x:v>0.015517344827586207</x:v>
      </x:c>
      <x:c r="H10" s="76" t="n">
        <x:f>C10*E10*Assumptions!B8</x:f>
        <x:v>288</x:v>
      </x:c>
      <x:c r="I10" s="76" t="n">
        <x:f>Assumptions!B9*(C10/Assumptions!B10)</x:f>
        <x:v>8.700000000000001</x:v>
      </x:c>
      <x:c r="J10" s="76" t="n">
        <x:f>F10+H10+I10</x:f>
        <x:v>297.600006</x:v>
      </x:c>
      <x:c r="K10" s="76" t="n">
        <x:f>IF(C10*D10&gt;0,J10/(C10*D10),"")</x:f>
        <x:v>29.7600006</x:v>
      </x:c>
      <x:c r="L10" s="76" t="n">
        <x:f>G10*Assumptions!B10+E10*Assumptions!B8*Assumptions!B10+Assumptions!B9</x:f>
        <x:v>5131.034586206897</x:v>
      </x:c>
      <x:c r="M10" s="74" t="n">
        <x:f>MAX(0,MIN(1,1-(Assumptions!B7-G10-Assumptions!B9/Assumptions!B10)/Assumptions!B8))</x:f>
        <x:v>0.19425289080459773</x:v>
      </x:c>
      <x:c r="N10" s="76" t="n">
        <x:f>Assumptions!B7</x:f>
        <x:v>5</x:v>
      </x:c>
      <x:c r="O10" s="27" t="str">
        <x:v>https://openrouter.ai/anthropic/claude-sonnet-4.6/pricing</x:v>
      </x:c>
      <x:c r="P10" s="27" t="str">
        <x:v>2026-09-16</x:v>
      </x:c>
      <x:c r="Q10" s="27" t="str">
        <x:v>Exact price-book cost from measured API-reported tokens and run prices; provider-reported cost retained in audit.</x:v>
      </x:c>
    </x:row>
    <x:row r="11">
      <x:c r="A11" s="27" t="str">
        <x:v>anthropic/claude-sonnet-4.6</x:v>
      </x:c>
      <x:c r="B11" s="27" t="str">
        <x:v>success_minus_10pp</x:v>
      </x:c>
      <x:c r="C11" s="72" t="n">
        <x:f>'Live Metrics'!D6</x:f>
        <x:v>58</x:v>
      </x:c>
      <x:c r="D11" s="73" t="n">
        <x:f>MAX(0,'Live Metrics'!F6-0.10)</x:f>
        <x:v>0.07241379310344828</x:v>
      </x:c>
      <x:c r="E11" s="74" t="n">
        <x:f>1-D11</x:f>
        <x:v>0.9275862068965517</x:v>
      </x:c>
      <x:c r="F11" s="75" t="n">
        <x:f>'Live Metrics'!O6</x:f>
        <x:v>0.900006</x:v>
      </x:c>
      <x:c r="G11" s="76" t="n">
        <x:f>F11/C11</x:f>
        <x:v>0.015517344827586207</x:v>
      </x:c>
      <x:c r="H11" s="76" t="n">
        <x:f>C11*E11*Assumptions!B8</x:f>
        <x:v>322.79999999999995</x:v>
      </x:c>
      <x:c r="I11" s="76" t="n">
        <x:f>Assumptions!B9*(C11/Assumptions!B10)</x:f>
        <x:v>8.700000000000001</x:v>
      </x:c>
      <x:c r="J11" s="76" t="n">
        <x:f>F11+H11+I11</x:f>
        <x:v>332.40000599999996</x:v>
      </x:c>
      <x:c r="K11" s="76" t="n">
        <x:f>IF(C11*D11&gt;0,J11/(C11*D11),"")</x:f>
        <x:v>79.14285857142856</x:v>
      </x:c>
      <x:c r="L11" s="76" t="n">
        <x:f>G11*Assumptions!B10+E11*Assumptions!B8*Assumptions!B10+Assumptions!B9</x:f>
        <x:v>5731.034586206896</x:v>
      </x:c>
      <x:c r="M11" s="74" t="n">
        <x:f>MAX(0,MIN(1,1-(Assumptions!B7-G11-Assumptions!B9/Assumptions!B10)/Assumptions!B8))</x:f>
        <x:v>0.19425289080459773</x:v>
      </x:c>
      <x:c r="N11" s="76" t="n">
        <x:f>Assumptions!B7</x:f>
        <x:v>5</x:v>
      </x:c>
      <x:c r="O11" s="27" t="str">
        <x:v>https://openrouter.ai/anthropic/claude-sonnet-4.6/pricing</x:v>
      </x:c>
      <x:c r="P11" s="27" t="str">
        <x:v>2026-09-16</x:v>
      </x:c>
      <x:c r="Q11" s="27" t="str">
        <x:v>Exact price-book cost from measured API-reported tokens and run prices; provider-reported cost retained in audit.</x:v>
      </x:c>
    </x:row>
    <x:row r="12">
      <x:c r="A12" s="27" t="str">
        <x:v>anthropic/claude-sonnet-4.6</x:v>
      </x:c>
      <x:c r="B12" s="27" t="str">
        <x:v>success_plus_10pp</x:v>
      </x:c>
      <x:c r="C12" s="72" t="n">
        <x:f>'Live Metrics'!D6</x:f>
        <x:v>58</x:v>
      </x:c>
      <x:c r="D12" s="73" t="n">
        <x:f>MIN(1,'Live Metrics'!F6+0.10)</x:f>
        <x:v>0.27241379310344827</x:v>
      </x:c>
      <x:c r="E12" s="74" t="n">
        <x:f>1-D12</x:f>
        <x:v>0.7275862068965517</x:v>
      </x:c>
      <x:c r="F12" s="75" t="n">
        <x:f>'Live Metrics'!O6</x:f>
        <x:v>0.900006</x:v>
      </x:c>
      <x:c r="G12" s="76" t="n">
        <x:f>F12/C12</x:f>
        <x:v>0.015517344827586207</x:v>
      </x:c>
      <x:c r="H12" s="76" t="n">
        <x:f>C12*E12*Assumptions!B8</x:f>
        <x:v>253.20000000000002</x:v>
      </x:c>
      <x:c r="I12" s="76" t="n">
        <x:f>Assumptions!B9*(C12/Assumptions!B10)</x:f>
        <x:v>8.700000000000001</x:v>
      </x:c>
      <x:c r="J12" s="76" t="n">
        <x:f>F12+H12+I12</x:f>
        <x:v>262.800006</x:v>
      </x:c>
      <x:c r="K12" s="76" t="n">
        <x:f>IF(C12*D12&gt;0,J12/(C12*D12),"")</x:f>
        <x:v>16.6329117721519</x:v>
      </x:c>
      <x:c r="L12" s="76" t="n">
        <x:f>G12*Assumptions!B10+E12*Assumptions!B8*Assumptions!B10+Assumptions!B9</x:f>
        <x:v>4531.034586206896</x:v>
      </x:c>
      <x:c r="M12" s="74" t="n">
        <x:f>MAX(0,MIN(1,1-(Assumptions!B7-G12-Assumptions!B9/Assumptions!B10)/Assumptions!B8))</x:f>
        <x:v>0.19425289080459773</x:v>
      </x:c>
      <x:c r="N12" s="76" t="n">
        <x:f>Assumptions!B7</x:f>
        <x:v>5</x:v>
      </x:c>
      <x:c r="O12" s="27" t="str">
        <x:v>https://openrouter.ai/anthropic/claude-sonnet-4.6/pricing</x:v>
      </x:c>
      <x:c r="P12" s="27" t="str">
        <x:v>2026-09-16</x:v>
      </x:c>
      <x:c r="Q12" s="27" t="str">
        <x:v>Exact price-book cost from measured API-reported tokens and run prices; provider-reported cost retained in audit.</x:v>
      </x:c>
    </x:row>
    <x:row r="13">
      <x:c r="A13" s="27" t="str">
        <x:v>deepseek/deepseek-v4-pro</x:v>
      </x:c>
      <x:c r="B13" s="27" t="str">
        <x:v>base</x:v>
      </x:c>
      <x:c r="C13" s="72" t="n">
        <x:f>'Live Metrics'!D7</x:f>
        <x:v>58</x:v>
      </x:c>
      <x:c r="D13" s="73" t="n">
        <x:f>'Live Metrics'!F7</x:f>
        <x:v>0.06896551724137931</x:v>
      </x:c>
      <x:c r="E13" s="74" t="n">
        <x:f>1-D13</x:f>
        <x:v>0.9310344827586207</x:v>
      </x:c>
      <x:c r="F13" s="75" t="n">
        <x:f>'Live Metrics'!O7</x:f>
        <x:v>0.21358412999999998</x:v>
      </x:c>
      <x:c r="G13" s="76" t="n">
        <x:f>F13/C13</x:f>
        <x:v>0.0036824849999999997</x:v>
      </x:c>
      <x:c r="H13" s="76" t="n">
        <x:f>C13*E13*Assumptions!B8</x:f>
        <x:v>324</x:v>
      </x:c>
      <x:c r="I13" s="76" t="n">
        <x:f>Assumptions!B9*(C13/Assumptions!B10)</x:f>
        <x:v>8.700000000000001</x:v>
      </x:c>
      <x:c r="J13" s="76" t="n">
        <x:f>F13+H13+I13</x:f>
        <x:v>332.91358413</x:v>
      </x:c>
      <x:c r="K13" s="76" t="n">
        <x:f>IF(C13*D13&gt;0,J13/(C13*D13),"")</x:f>
        <x:v>83.2283960325</x:v>
      </x:c>
      <x:c r="L13" s="76" t="n">
        <x:f>G13*Assumptions!B10+E13*Assumptions!B8*Assumptions!B10+Assumptions!B9</x:f>
        <x:v>5739.889381551725</x:v>
      </x:c>
      <x:c r="M13" s="74" t="n">
        <x:f>MAX(0,MIN(1,1-(Assumptions!B7-G13-Assumptions!B9/Assumptions!B10)/Assumptions!B8))</x:f>
        <x:v>0.19228041416666664</x:v>
      </x:c>
      <x:c r="N13" s="76" t="n">
        <x:f>Assumptions!B7</x:f>
        <x:v>5</x:v>
      </x:c>
      <x:c r="O13" s="27" t="str">
        <x:v>https://openrouter.ai/deepseek/deepseek-v4-pro/api</x:v>
      </x:c>
      <x:c r="P13" s="27" t="str">
        <x:v>2026-09-17</x:v>
      </x:c>
      <x:c r="Q13" s="27" t="str">
        <x:v>Exact price-book cost from measured API-reported tokens and run prices; provider-reported cost retained in audit.</x:v>
      </x:c>
    </x:row>
    <x:row r="14">
      <x:c r="A14" s="27" t="str">
        <x:v>deepseek/deepseek-v4-pro</x:v>
      </x:c>
      <x:c r="B14" s="27" t="str">
        <x:v>success_minus_10pp</x:v>
      </x:c>
      <x:c r="C14" s="72" t="n">
        <x:f>'Live Metrics'!D7</x:f>
        <x:v>58</x:v>
      </x:c>
      <x:c r="D14" s="73" t="n">
        <x:f>MAX(0,'Live Metrics'!F7-0.10)</x:f>
        <x:v>0</x:v>
      </x:c>
      <x:c r="E14" s="74" t="n">
        <x:f>1-D14</x:f>
        <x:v>1</x:v>
      </x:c>
      <x:c r="F14" s="75" t="n">
        <x:f>'Live Metrics'!O7</x:f>
        <x:v>0.21358412999999998</x:v>
      </x:c>
      <x:c r="G14" s="76" t="n">
        <x:f>F14/C14</x:f>
        <x:v>0.0036824849999999997</x:v>
      </x:c>
      <x:c r="H14" s="76" t="n">
        <x:f>C14*E14*Assumptions!B8</x:f>
        <x:v>348</x:v>
      </x:c>
      <x:c r="I14" s="76" t="n">
        <x:f>Assumptions!B9*(C14/Assumptions!B10)</x:f>
        <x:v>8.700000000000001</x:v>
      </x:c>
      <x:c r="J14" s="76" t="n">
        <x:f>F14+H14+I14</x:f>
        <x:v>356.91358413</x:v>
      </x:c>
      <x:c r="K14" s="76" t="str">
        <x:f>IF(C14*D14&gt;0,J14/(C14*D14),"")</x:f>
      </x:c>
      <x:c r="L14" s="76" t="n">
        <x:f>G14*Assumptions!B10+E14*Assumptions!B8*Assumptions!B10+Assumptions!B9</x:f>
        <x:v>6153.682485</x:v>
      </x:c>
      <x:c r="M14" s="74" t="n">
        <x:f>MAX(0,MIN(1,1-(Assumptions!B7-G14-Assumptions!B9/Assumptions!B10)/Assumptions!B8))</x:f>
        <x:v>0.19228041416666664</x:v>
      </x:c>
      <x:c r="N14" s="76" t="n">
        <x:f>Assumptions!B7</x:f>
        <x:v>5</x:v>
      </x:c>
      <x:c r="O14" s="27" t="str">
        <x:v>https://openrouter.ai/deepseek/deepseek-v4-pro/api</x:v>
      </x:c>
      <x:c r="P14" s="27" t="str">
        <x:v>2026-09-17</x:v>
      </x:c>
      <x:c r="Q14" s="27" t="str">
        <x:v>Exact price-book cost from measured API-reported tokens and run prices; provider-reported cost retained in audit.</x:v>
      </x:c>
    </x:row>
    <x:row r="15">
      <x:c r="A15" s="27" t="str">
        <x:v>deepseek/deepseek-v4-pro</x:v>
      </x:c>
      <x:c r="B15" s="27" t="str">
        <x:v>success_plus_10pp</x:v>
      </x:c>
      <x:c r="C15" s="72" t="n">
        <x:f>'Live Metrics'!D7</x:f>
        <x:v>58</x:v>
      </x:c>
      <x:c r="D15" s="73" t="n">
        <x:f>MIN(1,'Live Metrics'!F7+0.10)</x:f>
        <x:v>0.16896551724137931</x:v>
      </x:c>
      <x:c r="E15" s="74" t="n">
        <x:f>1-D15</x:f>
        <x:v>0.8310344827586207</x:v>
      </x:c>
      <x:c r="F15" s="75" t="n">
        <x:f>'Live Metrics'!O7</x:f>
        <x:v>0.21358412999999998</x:v>
      </x:c>
      <x:c r="G15" s="76" t="n">
        <x:f>F15/C15</x:f>
        <x:v>0.0036824849999999997</x:v>
      </x:c>
      <x:c r="H15" s="76" t="n">
        <x:f>C15*E15*Assumptions!B8</x:f>
        <x:v>289.20000000000005</x:v>
      </x:c>
      <x:c r="I15" s="76" t="n">
        <x:f>Assumptions!B9*(C15/Assumptions!B10)</x:f>
        <x:v>8.700000000000001</x:v>
      </x:c>
      <x:c r="J15" s="76" t="n">
        <x:f>F15+H15+I15</x:f>
        <x:v>298.11358413000005</x:v>
      </x:c>
      <x:c r="K15" s="76" t="n">
        <x:f>IF(C15*D15&gt;0,J15/(C15*D15),"")</x:f>
        <x:v>30.419753482653064</x:v>
      </x:c>
      <x:c r="L15" s="76" t="n">
        <x:f>G15*Assumptions!B10+E15*Assumptions!B8*Assumptions!B10+Assumptions!B9</x:f>
        <x:v>5139.889381551725</x:v>
      </x:c>
      <x:c r="M15" s="74" t="n">
        <x:f>MAX(0,MIN(1,1-(Assumptions!B7-G15-Assumptions!B9/Assumptions!B10)/Assumptions!B8))</x:f>
        <x:v>0.19228041416666664</x:v>
      </x:c>
      <x:c r="N15" s="76" t="n">
        <x:f>Assumptions!B7</x:f>
        <x:v>5</x:v>
      </x:c>
      <x:c r="O15" s="27" t="str">
        <x:v>https://openrouter.ai/deepseek/deepseek-v4-pro/api</x:v>
      </x:c>
      <x:c r="P15" s="27" t="str">
        <x:v>2026-09-17</x:v>
      </x:c>
      <x:c r="Q15" s="27" t="str">
        <x:v>Exact price-book cost from measured API-reported tokens and run prices; provider-reported cost retained in audit.</x:v>
      </x:c>
    </x:row>
    <x:row r="16">
      <x:c r="A16" s="27" t="str">
        <x:v>google/gemini-3.7-flash</x:v>
      </x:c>
      <x:c r="B16" s="27" t="str">
        <x:v>base</x:v>
      </x:c>
      <x:c r="C16" s="72" t="n">
        <x:f>'Live Metrics'!D8</x:f>
        <x:v>58</x:v>
      </x:c>
      <x:c r="D16" s="73" t="n">
        <x:f>'Live Metrics'!F8</x:f>
        <x:v>0.10344827586206896</x:v>
      </x:c>
      <x:c r="E16" s="74" t="n">
        <x:f>1-D16</x:f>
        <x:v>0.896551724137931</x:v>
      </x:c>
      <x:c r="F16" s="75" t="n">
        <x:f>'Live Metrics'!O8</x:f>
        <x:v>0.1653615</x:v>
      </x:c>
      <x:c r="G16" s="76" t="n">
        <x:f>F16/C16</x:f>
        <x:v>0.002851060344827586</x:v>
      </x:c>
      <x:c r="H16" s="76" t="n">
        <x:f>C16*E16*Assumptions!B8</x:f>
        <x:v>312</x:v>
      </x:c>
      <x:c r="I16" s="76" t="n">
        <x:f>Assumptions!B9*(C16/Assumptions!B10)</x:f>
        <x:v>8.700000000000001</x:v>
      </x:c>
      <x:c r="J16" s="76" t="n">
        <x:f>F16+H16+I16</x:f>
        <x:v>320.8653615</x:v>
      </x:c>
      <x:c r="K16" s="76" t="n">
        <x:f>IF(C16*D16&gt;0,J16/(C16*D16),"")</x:f>
        <x:v>53.47756025</x:v>
      </x:c>
      <x:c r="L16" s="76" t="n">
        <x:f>G16*Assumptions!B10+E16*Assumptions!B8*Assumptions!B10+Assumptions!B9</x:f>
        <x:v>5532.161405172414</x:v>
      </x:c>
      <x:c r="M16" s="74" t="n">
        <x:f>MAX(0,MIN(1,1-(Assumptions!B7-G16-Assumptions!B9/Assumptions!B10)/Assumptions!B8))</x:f>
        <x:v>0.19214184339080465</x:v>
      </x:c>
      <x:c r="N16" s="76" t="n">
        <x:f>Assumptions!B7</x:f>
        <x:v>5</x:v>
      </x:c>
      <x:c r="O16" s="27" t="str">
        <x:v>https://openrouter.ai/google/gemini-3.7-flash</x:v>
      </x:c>
      <x:c r="P16" s="27" t="str">
        <x:v>2026-09-17</x:v>
      </x:c>
      <x:c r="Q16" s="27" t="str">
        <x:v>Exact price-book cost from measured API-reported tokens and run prices; provider-reported cost retained in audit.</x:v>
      </x:c>
    </x:row>
    <x:row r="17">
      <x:c r="A17" s="27" t="str">
        <x:v>google/gemini-3.7-flash</x:v>
      </x:c>
      <x:c r="B17" s="27" t="str">
        <x:v>success_minus_10pp</x:v>
      </x:c>
      <x:c r="C17" s="72" t="n">
        <x:f>'Live Metrics'!D8</x:f>
        <x:v>58</x:v>
      </x:c>
      <x:c r="D17" s="73" t="n">
        <x:f>MAX(0,'Live Metrics'!F8-0.10)</x:f>
        <x:v>0.0034482758620689585</x:v>
      </x:c>
      <x:c r="E17" s="74" t="n">
        <x:f>1-D17</x:f>
        <x:v>0.996551724137931</x:v>
      </x:c>
      <x:c r="F17" s="75" t="n">
        <x:f>'Live Metrics'!O8</x:f>
        <x:v>0.1653615</x:v>
      </x:c>
      <x:c r="G17" s="76" t="n">
        <x:f>F17/C17</x:f>
        <x:v>0.002851060344827586</x:v>
      </x:c>
      <x:c r="H17" s="76" t="n">
        <x:f>C17*E17*Assumptions!B8</x:f>
        <x:v>346.79999999999995</x:v>
      </x:c>
      <x:c r="I17" s="76" t="n">
        <x:f>Assumptions!B9*(C17/Assumptions!B10)</x:f>
        <x:v>8.700000000000001</x:v>
      </x:c>
      <x:c r="J17" s="76" t="n">
        <x:f>F17+H17+I17</x:f>
        <x:v>355.66536149999996</x:v>
      </x:c>
      <x:c r="K17" s="76" t="n">
        <x:f>IF(C17*D17&gt;0,J17/(C17*D17),"")</x:f>
        <x:v>1778.3268075000035</x:v>
      </x:c>
      <x:c r="L17" s="76" t="n">
        <x:f>G17*Assumptions!B10+E17*Assumptions!B8*Assumptions!B10+Assumptions!B9</x:f>
        <x:v>6132.161405172414</x:v>
      </x:c>
      <x:c r="M17" s="74" t="n">
        <x:f>MAX(0,MIN(1,1-(Assumptions!B7-G17-Assumptions!B9/Assumptions!B10)/Assumptions!B8))</x:f>
        <x:v>0.19214184339080465</x:v>
      </x:c>
      <x:c r="N17" s="76" t="n">
        <x:f>Assumptions!B7</x:f>
        <x:v>5</x:v>
      </x:c>
      <x:c r="O17" s="27" t="str">
        <x:v>https://openrouter.ai/google/gemini-3.7-flash</x:v>
      </x:c>
      <x:c r="P17" s="27" t="str">
        <x:v>2026-09-17</x:v>
      </x:c>
      <x:c r="Q17" s="27" t="str">
        <x:v>Exact price-book cost from measured API-reported tokens and run prices; provider-reported cost retained in audit.</x:v>
      </x:c>
    </x:row>
    <x:row r="18">
      <x:c r="A18" s="27" t="str">
        <x:v>google/gemini-3.7-flash</x:v>
      </x:c>
      <x:c r="B18" s="27" t="str">
        <x:v>success_plus_10pp</x:v>
      </x:c>
      <x:c r="C18" s="72" t="n">
        <x:f>'Live Metrics'!D8</x:f>
        <x:v>58</x:v>
      </x:c>
      <x:c r="D18" s="73" t="n">
        <x:f>MIN(1,'Live Metrics'!F8+0.10)</x:f>
        <x:v>0.20344827586206898</x:v>
      </x:c>
      <x:c r="E18" s="74" t="n">
        <x:f>1-D18</x:f>
        <x:v>0.796551724137931</x:v>
      </x:c>
      <x:c r="F18" s="75" t="n">
        <x:f>'Live Metrics'!O8</x:f>
        <x:v>0.1653615</x:v>
      </x:c>
      <x:c r="G18" s="76" t="n">
        <x:f>F18/C18</x:f>
        <x:v>0.002851060344827586</x:v>
      </x:c>
      <x:c r="H18" s="76" t="n">
        <x:f>C18*E18*Assumptions!B8</x:f>
        <x:v>277.2</x:v>
      </x:c>
      <x:c r="I18" s="76" t="n">
        <x:f>Assumptions!B9*(C18/Assumptions!B10)</x:f>
        <x:v>8.700000000000001</x:v>
      </x:c>
      <x:c r="J18" s="76" t="n">
        <x:f>F18+H18+I18</x:f>
        <x:v>286.0653615</x:v>
      </x:c>
      <x:c r="K18" s="76" t="n">
        <x:f>IF(C18*D18&gt;0,J18/(C18*D18),"")</x:f>
        <x:v>24.24282724576271</x:v>
      </x:c>
      <x:c r="L18" s="76" t="n">
        <x:f>G18*Assumptions!B10+E18*Assumptions!B8*Assumptions!B10+Assumptions!B9</x:f>
        <x:v>4932.161405172414</x:v>
      </x:c>
      <x:c r="M18" s="74" t="n">
        <x:f>MAX(0,MIN(1,1-(Assumptions!B7-G18-Assumptions!B9/Assumptions!B10)/Assumptions!B8))</x:f>
        <x:v>0.19214184339080465</x:v>
      </x:c>
      <x:c r="N18" s="76" t="n">
        <x:f>Assumptions!B7</x:f>
        <x:v>5</x:v>
      </x:c>
      <x:c r="O18" s="27" t="str">
        <x:v>https://openrouter.ai/google/gemini-3.7-flash</x:v>
      </x:c>
      <x:c r="P18" s="27" t="str">
        <x:v>2026-09-17</x:v>
      </x:c>
      <x:c r="Q18" s="27" t="str">
        <x:v>Exact price-book cost from measured API-reported tokens and run prices; provider-reported cost retained in audit.</x:v>
      </x:c>
    </x:row>
  </x:sheetData>
  <x:mergeCells>
    <x:mergeCell ref="A1:Q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78.5" hidden="0" customWidth="1"/>
    <x:col min="3" max="3" width="10.130000114440918" hidden="0" customWidth="1"/>
    <x:col min="4" max="4" width="22" hidden="0" customWidth="1"/>
    <x:col min="5" max="5" width="22" hidden="0" customWidth="1"/>
    <x:col min="6" max="6" width="22" hidden="0" customWidth="1"/>
    <x:col min="7" max="7" width="15.130000114440918" hidden="0" customWidth="1"/>
    <x:col min="8" max="8" width="19.6299991607666" hidden="0" customWidth="1"/>
    <x:col min="9" max="9" width="13.5" hidden="0" customWidth="1"/>
    <x:col min="10" max="10" width="8.630000114440918" hidden="0" customWidth="1"/>
  </x:cols>
  <x:sheetData>
    <x:row r="1">
      <x:c r="A1" s="26" t="str">
        <x:v>D6 Executive Cost Summary — five final-v2 models</x:v>
      </x:c>
      <x:c r="B1" s="26"/>
      <x:c r="C1" s="26"/>
      <x:c r="D1" s="26"/>
      <x:c r="E1" s="26"/>
      <x:c r="F1" s="26"/>
      <x:c r="G1" s="26"/>
      <x:c r="H1" s="26"/>
      <x:c r="I1" s="26"/>
      <x:c r="J1" s="26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</x:row>
    <x:row r="3">
      <x:c r="A3" s="41" t="str">
        <x:v>Model</x:v>
      </x:c>
      <x:c r="B3" s="41" t="str">
        <x:v>Success rate</x:v>
      </x:c>
      <x:c r="C3" s="41" t="str">
        <x:v>Fallback rate</x:v>
      </x:c>
      <x:c r="D3" s="41" t="str">
        <x:v>Monthly AI-assisted cost</x:v>
      </x:c>
      <x:c r="E3" s="41" t="str">
        <x:v>Manual-only monthly cost</x:v>
      </x:c>
      <x:c r="F3" s="41" t="str">
        <x:v>Monthly savings / (loss)</x:v>
      </x:c>
      <x:c r="G3" s="41" t="str">
        <x:v>Break-even success</x:v>
      </x:c>
      <x:c r="H3" s="41" t="str">
        <x:v>Exact price-book API cost</x:v>
      </x:c>
      <x:c r="I3" s="41" t="str">
        <x:v>Provider API cost</x:v>
      </x:c>
      <x:c r="J3" s="41" t="str">
        <x:v>Error trials</x:v>
      </x:c>
      <x:c r="L3" t="str">
        <x:v>Model</x:v>
      </x:c>
      <x:c r="M3" t="str">
        <x:v>AI-assisted monthly cost</x:v>
      </x:c>
      <x:c r="N3" t="str">
        <x:v>Manual-only baseline</x:v>
      </x:c>
    </x:row>
    <x:row r="4">
      <x:c r="A4" s="72" t="str">
        <x:f>'Live Metrics'!A4</x:f>
        <x:v>OpenAI GPT-5.4</x:v>
      </x:c>
      <x:c r="B4" s="73" t="n">
        <x:f>'Cost Ledger'!D4</x:f>
        <x:v>0.43103448275862066</x:v>
      </x:c>
      <x:c r="C4" s="73" t="n">
        <x:f>'Cost Ledger'!E4</x:f>
        <x:v>0.5689655172413793</x:v>
      </x:c>
      <x:c r="D4" s="75" t="n">
        <x:f>'Cost Ledger'!L4</x:f>
        <x:v>3578.985905172414</x:v>
      </x:c>
      <x:c r="E4" s="75" t="n">
        <x:f>Assumptions!B11</x:f>
        <x:v>5000</x:v>
      </x:c>
      <x:c r="F4" s="76" t="n">
        <x:f>E4-D4</x:f>
        <x:v>1421.0140948275862</x:v>
      </x:c>
      <x:c r="G4" s="75" t="n">
        <x:f>'Cost Ledger'!M4</x:f>
        <x:v>0.19419880028735637</x:v>
      </x:c>
      <x:c r="H4" s="75" t="n">
        <x:f>'Live Metrics'!O4</x:f>
        <x:v>0.8811825</x:v>
      </x:c>
      <x:c r="I4" s="75" t="n">
        <x:f>'Live Metrics'!P4</x:f>
        <x:v>0.8811825</x:v>
      </x:c>
      <x:c r="J4" s="86" t="n">
        <x:f>'Live Metrics'!J4</x:f>
        <x:v>22</x:v>
      </x:c>
      <x:c r="L4" t="str">
        <x:v>GPT-5.4</x:v>
      </x:c>
      <x:c r="M4" s="22" t="n">
        <x:f>D4</x:f>
        <x:v>3578.985905172414</x:v>
      </x:c>
      <x:c r="N4" s="22" t="n">
        <x:f>E4</x:f>
        <x:v>5000</x:v>
      </x:c>
    </x:row>
    <x:row r="5">
      <x:c r="A5" s="72" t="str">
        <x:f>'Live Metrics'!A5</x:f>
        <x:v>Moonshot Kimi K2.6</x:v>
      </x:c>
      <x:c r="B5" s="73" t="n">
        <x:f>'Cost Ledger'!D7</x:f>
        <x:v>0.25862068965517243</x:v>
      </x:c>
      <x:c r="C5" s="73" t="n">
        <x:f>'Cost Ledger'!E7</x:f>
        <x:v>0.7413793103448276</x:v>
      </x:c>
      <x:c r="D5" s="75" t="n">
        <x:f>'Cost Ledger'!L7</x:f>
        <x:v>4603.963953448277</x:v>
      </x:c>
      <x:c r="E5" s="75" t="n">
        <x:f>Assumptions!B11</x:f>
        <x:v>5000</x:v>
      </x:c>
      <x:c r="F5" s="76" t="n">
        <x:f>E5-D5</x:f>
        <x:v>396.0360465517233</x:v>
      </x:c>
      <x:c r="G5" s="75" t="n">
        <x:f>'Cost Ledger'!M7</x:f>
        <x:v>0.19261468189655184</x:v>
      </x:c>
      <x:c r="H5" s="75" t="n">
        <x:f>'Live Metrics'!O5</x:f>
        <x:v>0.32990929999999996</x:v>
      </x:c>
      <x:c r="I5" s="75" t="n">
        <x:f>'Live Metrics'!P5</x:f>
        <x:v>0.24100017000000004</x:v>
      </x:c>
      <x:c r="J5" s="86" t="n">
        <x:f>'Live Metrics'!J5</x:f>
        <x:v>31</x:v>
      </x:c>
      <x:c r="L5" t="str">
        <x:v>Kimi K2.6</x:v>
      </x:c>
      <x:c r="M5" s="22" t="n">
        <x:f>D5</x:f>
        <x:v>4603.963953448277</x:v>
      </x:c>
      <x:c r="N5" s="22" t="n">
        <x:f>E5</x:f>
        <x:v>5000</x:v>
      </x:c>
    </x:row>
    <x:row r="6">
      <x:c r="A6" s="72" t="str">
        <x:f>'Live Metrics'!A6</x:f>
        <x:v>Anthropic Claude Sonnet 4.6</x:v>
      </x:c>
      <x:c r="B6" s="73" t="n">
        <x:f>'Cost Ledger'!D10</x:f>
        <x:v>0.1724137931034483</x:v>
      </x:c>
      <x:c r="C6" s="73" t="n">
        <x:f>'Cost Ledger'!E10</x:f>
        <x:v>0.8275862068965517</x:v>
      </x:c>
      <x:c r="D6" s="75" t="n">
        <x:f>'Cost Ledger'!L10</x:f>
        <x:v>5131.034586206897</x:v>
      </x:c>
      <x:c r="E6" s="75" t="n">
        <x:f>Assumptions!B11</x:f>
        <x:v>5000</x:v>
      </x:c>
      <x:c r="F6" s="76" t="n">
        <x:f>E6-D6</x:f>
        <x:v>-131.03458620689707</x:v>
      </x:c>
      <x:c r="G6" s="75" t="n">
        <x:f>'Cost Ledger'!M10</x:f>
        <x:v>0.19425289080459773</x:v>
      </x:c>
      <x:c r="H6" s="75" t="n">
        <x:f>'Live Metrics'!O6</x:f>
        <x:v>0.900006</x:v>
      </x:c>
      <x:c r="I6" s="75" t="n">
        <x:f>'Live Metrics'!P6</x:f>
        <x:v>0.900006</x:v>
      </x:c>
      <x:c r="J6" s="86" t="n">
        <x:f>'Live Metrics'!J6</x:f>
        <x:v>48</x:v>
      </x:c>
      <x:c r="L6" t="str">
        <x:v>Claude Sonnet 4.6</x:v>
      </x:c>
      <x:c r="M6" s="22" t="n">
        <x:f>D6</x:f>
        <x:v>5131.034586206897</x:v>
      </x:c>
      <x:c r="N6" s="22" t="n">
        <x:f>E6</x:f>
        <x:v>5000</x:v>
      </x:c>
    </x:row>
    <x:row r="7">
      <x:c r="A7" s="72" t="str">
        <x:f>'Live Metrics'!A7</x:f>
        <x:v>DeepSeek V4 Pro</x:v>
      </x:c>
      <x:c r="B7" s="73" t="n">
        <x:f>'Cost Ledger'!D13</x:f>
        <x:v>0.06896551724137931</x:v>
      </x:c>
      <x:c r="C7" s="73" t="n">
        <x:f>'Cost Ledger'!E13</x:f>
        <x:v>0.9310344827586207</x:v>
      </x:c>
      <x:c r="D7" s="75" t="n">
        <x:f>'Cost Ledger'!L13</x:f>
        <x:v>5739.889381551725</x:v>
      </x:c>
      <x:c r="E7" s="75" t="n">
        <x:f>Assumptions!B11</x:f>
        <x:v>5000</x:v>
      </x:c>
      <x:c r="F7" s="76" t="n">
        <x:f>E7-D7</x:f>
        <x:v>-739.8893815517249</x:v>
      </x:c>
      <x:c r="G7" s="75" t="n">
        <x:f>'Cost Ledger'!M13</x:f>
        <x:v>0.19228041416666664</x:v>
      </x:c>
      <x:c r="H7" s="75" t="n">
        <x:f>'Live Metrics'!O7</x:f>
        <x:v>0.21358412999999998</x:v>
      </x:c>
      <x:c r="I7" s="75" t="n">
        <x:f>'Live Metrics'!P7</x:f>
        <x:v>0.17864116</x:v>
      </x:c>
      <x:c r="J7" s="86" t="n">
        <x:f>'Live Metrics'!J7</x:f>
        <x:v>50</x:v>
      </x:c>
      <x:c r="L7" t="str">
        <x:v>DeepSeek V4 Pro</x:v>
      </x:c>
      <x:c r="M7" s="22" t="n">
        <x:f>D7</x:f>
        <x:v>5739.889381551725</x:v>
      </x:c>
      <x:c r="N7" s="22" t="n">
        <x:f>E7</x:f>
        <x:v>5000</x:v>
      </x:c>
    </x:row>
    <x:row r="8">
      <x:c r="A8" s="72" t="str">
        <x:f>'Live Metrics'!A8</x:f>
        <x:v>Google Gemini 3.7 Flash</x:v>
      </x:c>
      <x:c r="B8" s="73" t="n">
        <x:f>'Cost Ledger'!D16</x:f>
        <x:v>0.10344827586206896</x:v>
      </x:c>
      <x:c r="C8" s="73" t="n">
        <x:f>'Cost Ledger'!E16</x:f>
        <x:v>0.896551724137931</x:v>
      </x:c>
      <x:c r="D8" s="75" t="n">
        <x:f>'Cost Ledger'!L16</x:f>
        <x:v>5532.161405172414</x:v>
      </x:c>
      <x:c r="E8" s="75" t="n">
        <x:f>Assumptions!B11</x:f>
        <x:v>5000</x:v>
      </x:c>
      <x:c r="F8" s="76" t="n">
        <x:f>E8-D8</x:f>
        <x:v>-532.1614051724137</x:v>
      </x:c>
      <x:c r="G8" s="75" t="n">
        <x:f>'Cost Ledger'!M16</x:f>
        <x:v>0.19214184339080465</x:v>
      </x:c>
      <x:c r="H8" s="75" t="n">
        <x:f>'Live Metrics'!O8</x:f>
        <x:v>0.1653615</x:v>
      </x:c>
      <x:c r="I8" s="75" t="n">
        <x:f>'Live Metrics'!P8</x:f>
        <x:v>0.1653615</x:v>
      </x:c>
      <x:c r="J8" s="86" t="n">
        <x:f>'Live Metrics'!J8</x:f>
        <x:v>49</x:v>
      </x:c>
      <x:c r="L8" t="str">
        <x:v>Gemini 3.7 Flash</x:v>
      </x:c>
      <x:c r="M8" s="22" t="n">
        <x:f>D8</x:f>
        <x:v>5532.161405172414</x:v>
      </x:c>
      <x:c r="N8" s="22" t="n">
        <x:f>E8</x:f>
        <x:v>5000</x:v>
      </x:c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</x:row>
    <x:row r="10">
      <x:c r="A10" s="87" t="str">
        <x:v>Interpretation</x:v>
      </x:c>
      <x:c r="B10" s="87" t="str"/>
      <x:c r="C10" s="87" t="str"/>
      <x:c r="D10" s="87" t="str"/>
      <x:c r="E10" s="87" t="str"/>
      <x:c r="F10" s="87" t="str"/>
      <x:c r="G10" s="27"/>
      <x:c r="H10" s="27"/>
      <x:c r="I10" s="27"/>
      <x:c r="J10" s="27"/>
    </x:row>
    <x:row r="11">
      <x:c r="A11" s="27" t="str">
        <x:v>Fallback convention</x:v>
      </x:c>
      <x:c r="B11" s="27" t="str">
        <x:v>Every deterministic code-check failure requires human fallback.</x:v>
      </x:c>
      <x:c r="C11" s="27" t="str"/>
      <x:c r="D11" s="27" t="str"/>
      <x:c r="E11" s="27" t="str"/>
      <x:c r="F11" s="27" t="str"/>
      <x:c r="G11" s="27"/>
      <x:c r="H11" s="27"/>
      <x:c r="I11" s="27"/>
      <x:c r="J11" s="27"/>
    </x:row>
    <x:row r="12">
      <x:c r="A12" s="27" t="str">
        <x:v>Business scenario</x:v>
      </x:c>
      <x:c r="B12" s="27" t="str">
        <x:v>Fallback US$6/task; manual US$5/task; fixed US$150/month; 1,000 tasks/month.</x:v>
      </x:c>
      <x:c r="C12" s="27" t="str"/>
      <x:c r="D12" s="27" t="str"/>
      <x:c r="E12" s="27" t="str"/>
      <x:c r="F12" s="27" t="str"/>
      <x:c r="G12" s="27"/>
      <x:c r="H12" s="27"/>
      <x:c r="I12" s="27"/>
      <x:c r="J12" s="27"/>
    </x:row>
    <x:row r="13">
      <x:c r="A13" s="27" t="str">
        <x:v>Sensitivity lever</x:v>
      </x:c>
      <x:c r="B13" s="27" t="str">
        <x:v>+10pp success reduces expected fallback spend by US$600/month under these assumptions.</x:v>
      </x:c>
      <x:c r="C13" s="27" t="str"/>
      <x:c r="D13" s="27" t="str"/>
      <x:c r="E13" s="27" t="str"/>
      <x:c r="F13" s="27" t="str"/>
      <x:c r="G13" s="27"/>
      <x:c r="H13" s="27"/>
      <x:c r="I13" s="27"/>
      <x:c r="J13" s="27"/>
    </x:row>
    <x:row r="14">
      <x:c r="A14" s="27" t="str">
        <x:v>Judgement status</x:v>
      </x:c>
      <x:c r="B14" s="27" t="str">
        <x:v>Three judgement cases remain pending in each battery; D6 uses deterministic code pass/fail consistently.</x:v>
      </x:c>
      <x:c r="C14" s="27" t="str"/>
      <x:c r="D14" s="27" t="str"/>
      <x:c r="E14" s="27" t="str"/>
      <x:c r="F14" s="27" t="str"/>
      <x:c r="G14" s="27"/>
      <x:c r="H14" s="27"/>
      <x:c r="I14" s="27"/>
      <x:c r="J14" s="27"/>
    </x:row>
  </x:sheetData>
  <x:mergeCells>
    <x:mergeCell ref="A1:J1"/>
    <x:mergeCell ref="A10:F10"/>
    <x:mergeCell ref="B11:F11"/>
    <x:mergeCell ref="B12:F12"/>
    <x:mergeCell ref="B13:F13"/>
    <x:mergeCell ref="B14:F14"/>
  </x:mergeCells>
  <x:pageMargins left="0.7" right="0.7" top="0.75" bottom="0.75" header="0.3" footer="0.3"/>
  <x:drawing xmlns:r="http://schemas.openxmlformats.org/officeDocument/2006/relationships" r:id="R27894913baa84a9c"/>
</x:worksheet>
</file>